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Dateneingabe" sheetId="2" state="visible" r:id="rId4"/>
    <sheet name="Auswahllisten" sheetId="3" state="visible" r:id="rId5"/>
    <sheet name="Kennzahlen" sheetId="4" state="visible" r:id="rId6"/>
    <sheet name="Dashboard" sheetId="5" state="visible" r:id="rId7"/>
  </sheets>
  <calcPr iterateCount="100" refMode="A1" iterate="false" iterateDelta="0.0001" calcMode="auto" fullCalcOnLoad="1" forceFullCalc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<sst xmlns="http://schemas.openxmlformats.org/spreadsheetml/2006/main" count="603" uniqueCount="437">
  <si>
    <t>EREIGNISREGISTER — BENUTZERANLEITUNG</t>
  </si>
  <si>
    <t xml:space="preserve">UVG-konform Schweiz | Arial 11pt | SUVA-Farbpalette</t>
  </si>
  <si>
    <t>BLAETTER IN DIESEM ARBEITSBUCH</t>
  </si>
  <si>
    <t>Dateneingabe</t>
  </si>
  <si>
    <t>Erfassen Sie hier alle Ereignisse und Beinahe-Unfälle. Eine Zeile pro Ereignis. Spalten nicht loeschen.</t>
  </si>
  <si>
    <t>Dashboard</t>
  </si>
  <si>
    <t>Diagramme aktualisieren sich automatisch. Fuer Praesentationen als Bild in PowerPoint einfügen.</t>
  </si>
  <si>
    <t>Kennzahlen</t>
  </si>
  <si>
    <t>Kennzahlen (UHR, Schweregrad) werden automatisch aus der Dateneingabe berechnet.</t>
  </si>
  <si>
    <t>Auswahllisten</t>
  </si>
  <si>
    <t>Referenzlisten fuer alle Auswahlfelder. An die Bedürfnisse Ihres Betriebs anpassen.</t>
  </si>
  <si>
    <t>SO VERWENDEN SIE DAS BLATT DATENEINGABE</t>
  </si>
  <si>
    <t xml:space="preserve">UID</t>
  </si>
  <si>
    <t>Wird automatisch erzeugt. Nicht aendern.</t>
  </si>
  <si>
    <t>Schweregrad</t>
  </si>
  <si>
    <t>Beinahe-Unfall / Erste Hilfe / Ärztliche Behandlung / Arbeitsausfall / Tödlicher Unfall</t>
  </si>
  <si>
    <t>SUVA-Fallnummer</t>
  </si>
  <si>
    <t>Erfassen, sobald die Suva eine Nummer zuweist. Fuer Beinahe-Unfälle leer lassen.</t>
  </si>
  <si>
    <t>Ereignisart</t>
  </si>
  <si>
    <t>Aus der Auswahlliste waehlen (z. B. getroffen, Sturz usw.). Basierend auf Suva-Kategorien.</t>
  </si>
  <si>
    <t>Unmittelbare Ursache</t>
  </si>
  <si>
    <t>Die direkte physische Ursache (z. B. 'ungesicherte Maschine').</t>
  </si>
  <si>
    <t>Grundursache</t>
  </si>
  <si>
    <t>Der zugrunde liegende Grund (z. B. 'Wartung nicht durchgeführt').</t>
  </si>
  <si>
    <t>Massnahmenversagen</t>
  </si>
  <si>
    <t>Welche Schutzebene versagte: Keine Massnahme / Massnahme umgangen / Massnahme unzureichend</t>
  </si>
  <si>
    <t>Arbeitsart</t>
  </si>
  <si>
    <t>Routine / Nicht-Routine / Wartung / Notfall — Nicht-Routine ist fast immer überrepräsentiert.</t>
  </si>
  <si>
    <t>Zeit in Funktion</t>
  </si>
  <si>
    <t>Monate der Person in dieser Funktion zum Zeitpunkt des Ereignisses. Wichtiger Indikator fuer neue Mitarbeitende.</t>
  </si>
  <si>
    <t>HINWEISE</t>
  </si>
  <si>
    <t>Beinahe-Unfälle</t>
  </si>
  <si>
    <t>Beinahe-Unfälle mit Schweregrad = 'Beinahe-Unfall' erfassen. Dieselben Ursachendaten gelten auch hier — hier steckt viel Lernpotenzial.</t>
  </si>
  <si>
    <t>Formatierung</t>
  </si>
  <si>
    <t>Spaltenreihenfolge nicht aendern. Diagramme und Kennzahlen beziehen sich auf feste Spalten.</t>
  </si>
  <si>
    <t>Auswahllisten</t>
  </si>
  <si>
    <t>Alle Auswahllisten stehen auf dem Blatt Auswahllisten. Betriebsspezifische Werte dort ergänzen.</t>
  </si>
  <si>
    <t>Diagramme</t>
  </si>
  <si>
    <t>Zum Blatt Dashboard gehen, Diagramm mit Rechtsklick kopieren und in PowerPoint als Bild einfügen.</t>
  </si>
  <si>
    <t>Formel UHR</t>
  </si>
  <si>
    <t>Unfallhäufigkeitsrate = (Unfälle mit Arbeitsausfall × 1.000.000) ÷ geleistete Arbeitsstunden. Arbeitsstunden im Blatt Kennzahlen aktualisieren.</t>
  </si>
  <si>
    <t>EREIGNISREGISTER</t>
  </si>
  <si>
    <t>Schweregradfarben:    Beinahe-Unfall (gelb)    Erste Hilfe (gruen)    Ärztliche Behandlung (lachs)    Arbeitsausfall (rot)    |  Beinahe-Unfall-Zeilen gelb unterlegt</t>
  </si>
  <si>
    <t xml:space="preserve">SUVA-Fallnummer</t>
  </si>
  <si>
    <t xml:space="preserve">Datum</t>
  </si>
  <si>
    <t xml:space="preserve">Jahr</t>
  </si>
  <si>
    <t xml:space="preserve">Monat</t>
  </si>
  <si>
    <t xml:space="preserve">Woche</t>
  </si>
  <si>
    <t xml:space="preserve">Wochentag</t>
  </si>
  <si>
    <t xml:space="preserve">Uhrzeit</t>
  </si>
  <si>
    <t xml:space="preserve">Schicht</t>
  </si>
  <si>
    <t xml:space="preserve">Schweregrad</t>
  </si>
  <si>
    <t xml:space="preserve">Meldepflichtig UVG</t>
  </si>
  <si>
    <t xml:space="preserve">Ausfalltage</t>
  </si>
  <si>
    <t xml:space="preserve">Abteilung</t>
  </si>
  <si>
    <t xml:space="preserve">Ort</t>
  </si>
  <si>
    <t>Name</t>
  </si>
  <si>
    <t>Fremdfirma</t>
  </si>
  <si>
    <t xml:space="preserve">Funktion</t>
  </si>
  <si>
    <t>Zeit in Funktion (Monate)</t>
  </si>
  <si>
    <t xml:space="preserve">Arbeitsart</t>
  </si>
  <si>
    <t xml:space="preserve">Ereignisart</t>
  </si>
  <si>
    <t xml:space="preserve">Körperteil</t>
  </si>
  <si>
    <t xml:space="preserve">Verletzungsart</t>
  </si>
  <si>
    <t xml:space="preserve">PSA erforderlich</t>
  </si>
  <si>
    <t xml:space="preserve">PSA getragen</t>
  </si>
  <si>
    <t xml:space="preserve">Betroffener Prozess</t>
  </si>
  <si>
    <t xml:space="preserve">Unmittelbare Ursache</t>
  </si>
  <si>
    <t xml:space="preserve">Grundursache</t>
  </si>
  <si>
    <t xml:space="preserve">Ursache 2</t>
  </si>
  <si>
    <t xml:space="preserve">Massnahmenversagen</t>
  </si>
  <si>
    <t xml:space="preserve">Beschreibung</t>
  </si>
  <si>
    <t>Ereignisabklärung erfolgt</t>
  </si>
  <si>
    <t>Massnahme</t>
  </si>
  <si>
    <t>Termin</t>
  </si>
  <si>
    <t>Abgeschlossen</t>
  </si>
  <si>
    <t xml:space="preserve">Bemerkungen</t>
  </si>
  <si>
    <t xml:space="preserve">ACC-2025-001</t>
  </si>
  <si>
    <t>Mittwoch</t>
  </si>
  <si>
    <t xml:space="preserve">09:15</t>
  </si>
  <si>
    <t>Fruehschicht</t>
  </si>
  <si>
    <t>Arbeitsausfall</t>
  </si>
  <si>
    <t>Ja</t>
  </si>
  <si>
    <t>Produktion</t>
  </si>
  <si>
    <t>Montagehalle A</t>
  </si>
  <si>
    <t xml:space="preserve">Müller, Hans</t>
  </si>
  <si>
    <t>Nein</t>
  </si>
  <si>
    <t>Maschinenfuehrer/in</t>
  </si>
  <si>
    <t>Routinearbeit</t>
  </si>
  <si>
    <t>Getroffen — bewegtes Objekt</t>
  </si>
  <si>
    <t>Hand/Finger</t>
  </si>
  <si>
    <t>Risswunde</t>
  </si>
  <si>
    <t>Metallpressen</t>
  </si>
  <si>
    <t>Ungesicherte Quetschstelle an der Presse</t>
  </si>
  <si>
    <t>Schutzvorrichtung fehlend/unzureichend</t>
  </si>
  <si>
    <t>Keine Wiederinbetriebnahme-Checkliste</t>
  </si>
  <si>
    <t>Massnahme umgangen</t>
  </si>
  <si>
    <t>Rechte Hand des Bedieners während des Routinezyklus in der Presse eingeklemmt. 3 Ausfalltage.</t>
  </si>
  <si>
    <t>Feste Schutzvorrichtung installieren und Wiederinbetriebnahme-Checkliste einfuehren</t>
  </si>
  <si>
    <t xml:space="preserve">28.02.2025</t>
  </si>
  <si>
    <t xml:space="preserve">ACC-2025-002</t>
  </si>
  <si>
    <t>Montag</t>
  </si>
  <si>
    <t xml:space="preserve">11:30</t>
  </si>
  <si>
    <t>Erste Hilfe</t>
  </si>
  <si>
    <t>Lager / Logistik</t>
  </si>
  <si>
    <t>Laderampe</t>
  </si>
  <si>
    <t xml:space="preserve">Bernasconi, Sara</t>
  </si>
  <si>
    <t>Staplerfahrer/in</t>
  </si>
  <si>
    <t>Ausrutschen/Stolpern — gleiche Ebene</t>
  </si>
  <si>
    <t>Knie</t>
  </si>
  <si>
    <t>Prellung</t>
  </si>
  <si>
    <t>Wareneingang</t>
  </si>
  <si>
    <t>Nasser Boden durch Dachleck</t>
  </si>
  <si>
    <t>Wartung nicht durchgeführt</t>
  </si>
  <si>
    <t>Warnschild fuer nassen Boden fehlte</t>
  </si>
  <si>
    <t>Massnahme unzureichend</t>
  </si>
  <si>
    <t>Fahrerin rutschte am Eingang der Laderampe auf nassem Beton aus. Nur Erste Hilfe.</t>
  </si>
  <si>
    <t>Dach reparieren — interimistisch: Antirutschmatte und Beschilderung</t>
  </si>
  <si>
    <t xml:space="preserve">20.02.2025</t>
  </si>
  <si>
    <t xml:space="preserve">ACC-2025-003</t>
  </si>
  <si>
    <t>Freitag</t>
  </si>
  <si>
    <t xml:space="preserve">14:45</t>
  </si>
  <si>
    <t>Nachmittag</t>
  </si>
  <si>
    <t>Beinahe-Unfall</t>
  </si>
  <si>
    <t>Wartung</t>
  </si>
  <si>
    <t>Heizraum</t>
  </si>
  <si>
    <t xml:space="preserve">Zimmermann, Beat</t>
  </si>
  <si>
    <t>Wartungstechniker/in</t>
  </si>
  <si>
    <t>Nicht-Routine</t>
  </si>
  <si>
    <t>Energieexposition / fehlende Absicherung</t>
  </si>
  <si>
    <t>Keine (Beinahe-Unfall)</t>
  </si>
  <si>
    <t>Kesselwartung</t>
  </si>
  <si>
    <t>Freischaltung vor dem Oeffnen der Schalttafel nicht verifiziert</t>
  </si>
  <si>
    <t>Absicherung nicht durchgeführt</t>
  </si>
  <si>
    <t>Zeitdruck aus der Produktion</t>
  </si>
  <si>
    <t>Keine Massnahme</t>
  </si>
  <si>
    <t>Techniker oeffnete Schalttafel ohne verifizierte Freischaltung. Stromfuehrende Sammelschiene vorhanden.</t>
  </si>
  <si>
    <t>Auffrischung zur Absicherung und Freigabeschein fuer diese Arbeit</t>
  </si>
  <si>
    <t xml:space="preserve">ACC-2025-004</t>
  </si>
  <si>
    <t>Samstag</t>
  </si>
  <si>
    <t xml:space="preserve">08:20</t>
  </si>
  <si>
    <t>Ärztliche Behandlung</t>
  </si>
  <si>
    <t>Lackiererei</t>
  </si>
  <si>
    <t xml:space="preserve">Favre, Michel</t>
  </si>
  <si>
    <t>Lackierer/in</t>
  </si>
  <si>
    <t>Exposition gegenüber Stoff</t>
  </si>
  <si>
    <t>Augen</t>
  </si>
  <si>
    <t>Chemische Spritzung</t>
  </si>
  <si>
    <t>Oberflaechenlackierung</t>
  </si>
  <si>
    <t>Spritzer von Loesungsmittel beim Oeffnen des Behaelters</t>
  </si>
  <si>
    <t>Neue/r Mitarbeitende/r / unbekannte Aufgabe</t>
  </si>
  <si>
    <t>Kein Buddy-System fuer neue Mitarbeitende</t>
  </si>
  <si>
    <t>Loesungsmittel spritzte beim Oeffnen des Behaelters in die Augen. Augendusche benutzt. Neue/r Mitarbeitende/r (3 Monate in Funktion).</t>
  </si>
  <si>
    <t>Buddy-System fuer die ersten 6 Monate und Pflichtkontrolle Schutzbrille</t>
  </si>
  <si>
    <t xml:space="preserve">15.03.2025</t>
  </si>
  <si>
    <t xml:space="preserve">ACC-2025-005</t>
  </si>
  <si>
    <t>Dienstag</t>
  </si>
  <si>
    <t xml:space="preserve">10:00</t>
  </si>
  <si>
    <t>Lager / Logistik</t>
  </si>
  <si>
    <t>Aussenlager</t>
  </si>
  <si>
    <t xml:space="preserve">Keller, Petra</t>
  </si>
  <si>
    <t>Logistikkoordinator/in</t>
  </si>
  <si>
    <t>Absturz</t>
  </si>
  <si>
    <t>Knöchel/Fuss</t>
  </si>
  <si>
    <t>Knochenbruch</t>
  </si>
  <si>
    <t>Containerentladung</t>
  </si>
  <si>
    <t>Fehlende Stufe an der Containerzugangsleiter</t>
  </si>
  <si>
    <t>Gerätedefekt / -versagen</t>
  </si>
  <si>
    <t>Vorbenutzungsinspektion nicht durchgeführt</t>
  </si>
  <si>
    <t>Mitarbeitende/r stuerzte 1,2 m von beschaedigter Containerleiter. Knöchelbruch. 12 Ausfalltage.</t>
  </si>
  <si>
    <t>Taegliches Vorbenutzungsformular fuer Containerleitern</t>
  </si>
  <si>
    <t xml:space="preserve">01.04.2025</t>
  </si>
  <si>
    <t xml:space="preserve">ACC-2025-006</t>
  </si>
  <si>
    <t xml:space="preserve">13:50</t>
  </si>
  <si>
    <t>Schweissplatz</t>
  </si>
  <si>
    <t xml:space="preserve">Sutter, Urs</t>
  </si>
  <si>
    <t>Schweisser/in</t>
  </si>
  <si>
    <t>Getroffen — Wurfkoerper</t>
  </si>
  <si>
    <t>Gesicht/Kopf</t>
  </si>
  <si>
    <t>Lichtbogen-/Funkenverbrennung</t>
  </si>
  <si>
    <t>MIG-Schweissen</t>
  </si>
  <si>
    <t>Schweissspritzer ins Gesicht — Visier kurz angehoben</t>
  </si>
  <si>
    <t>Gewohnheit / Betriebskultur</t>
  </si>
  <si>
    <t>Gewohnheit im Team nicht adressiert</t>
  </si>
  <si>
    <t>Schweisser/in hob das Visier zwischen den Schweissgaengen an — Spritzer. Leichte Funkenverbrennung. Erste Hilfe.</t>
  </si>
  <si>
    <t>Kurzunterweisung zur Visierdisziplin — keine Ausnahmen</t>
  </si>
  <si>
    <t xml:space="preserve">10.04.2025</t>
  </si>
  <si>
    <t xml:space="preserve">ACC-2025-007</t>
  </si>
  <si>
    <t xml:space="preserve">15:10</t>
  </si>
  <si>
    <t>Regalgang 3</t>
  </si>
  <si>
    <t xml:space="preserve">Egger, Claudia</t>
  </si>
  <si>
    <t>Kommissionierer/in</t>
  </si>
  <si>
    <t>Getroffen — fallendes Objekt</t>
  </si>
  <si>
    <t>Kommissionierung</t>
  </si>
  <si>
    <t>Instabile Palette im obersten Fach — beim Kommissionieren verrutscht</t>
  </si>
  <si>
    <t>Inspektionsluecke</t>
  </si>
  <si>
    <t>Kein Regalinspektionsprozess</t>
  </si>
  <si>
    <t>Palette im obersten Fach verrutschte während der Kommissionierung darunter. Keine Verletzung. Beinahe-Unfall.</t>
  </si>
  <si>
    <t>Regalinspektionsprogramm und Lastgrenzen an den Regalen kennzeichnen</t>
  </si>
  <si>
    <t xml:space="preserve">30.04.2025</t>
  </si>
  <si>
    <t xml:space="preserve">ACC-2025-008</t>
  </si>
  <si>
    <t xml:space="preserve">09:40</t>
  </si>
  <si>
    <t>CNC-Werkstatt</t>
  </si>
  <si>
    <t xml:space="preserve">Huber, Thomas</t>
  </si>
  <si>
    <t>Fremdfirma — Elektriker/in</t>
  </si>
  <si>
    <t>Kontakt mit scharfer Kante</t>
  </si>
  <si>
    <t>Schalttafelmontage</t>
  </si>
  <si>
    <t>Schnitt an Blechkante beim Verlegen von Kabeln</t>
  </si>
  <si>
    <t>PSA nicht getragen</t>
  </si>
  <si>
    <t>Fremdfirmenunterweisung unvollstaendig</t>
  </si>
  <si>
    <t>Fremdfirma schnitt sich an einer Blechkante in die Hand. Naht erforderlich. Nicht zu PSA-Regeln unterwiesen.</t>
  </si>
  <si>
    <t>Verbindliche PSA-Kontrolle bei Einsatzunterweisung mit Unterschrift</t>
  </si>
  <si>
    <t xml:space="preserve">10.05.2025</t>
  </si>
  <si>
    <t xml:space="preserve">ACC-2025-009</t>
  </si>
  <si>
    <t xml:space="preserve">02:20</t>
  </si>
  <si>
    <t>Nacht</t>
  </si>
  <si>
    <t>Montagehalle B</t>
  </si>
  <si>
    <t xml:space="preserve">Maurer, Nicole</t>
  </si>
  <si>
    <t>Montagetechniker/in</t>
  </si>
  <si>
    <t>Maschinenwartung</t>
  </si>
  <si>
    <t>Maschine während Wartung bei entfernter Schutzvorrichtung neu gestartet</t>
  </si>
  <si>
    <t>Absicherung nicht durchgeführt</t>
  </si>
  <si>
    <t>Absicherungsstandard nicht durchgesetzt</t>
  </si>
  <si>
    <t>Maschine wurde während der Wartung von einem Kollegen neu gestartet. Schutzvorrichtung entfernt. Keine Verletzung.</t>
  </si>
  <si>
    <t>Persoenliches Schloss fuer alle Wartungen verpflichtend — Sperrbuegel installiert</t>
  </si>
  <si>
    <t xml:space="preserve">26.05.2025</t>
  </si>
  <si>
    <t>Nachtschicht — Ermuedungsfaktor vermerkt</t>
  </si>
  <si>
    <t xml:space="preserve">ACC-2025-010</t>
  </si>
  <si>
    <t xml:space="preserve">08:05</t>
  </si>
  <si>
    <t>Büro / Administration</t>
  </si>
  <si>
    <t>Treppenhaus B</t>
  </si>
  <si>
    <t xml:space="preserve">Brunner, Andreas</t>
  </si>
  <si>
    <t>Administrator/in</t>
  </si>
  <si>
    <t>Ausrutschen/Stolpern — Treppe</t>
  </si>
  <si>
    <t>Handgelenk/Arm</t>
  </si>
  <si>
    <t>Verstauchung</t>
  </si>
  <si>
    <t>Normale Bewegung</t>
  </si>
  <si>
    <t>Unterste Stufe verfehlt — keine rutschhemmende Kante</t>
  </si>
  <si>
    <t>Inspektionsluecke</t>
  </si>
  <si>
    <t>Inspektionsluecke im Gebäudeunterhalt</t>
  </si>
  <si>
    <t>Auf abgenutzter Treppenkante ausgerutscht. Verstauchung am Handgelenk. Erste Hilfe.</t>
  </si>
  <si>
    <t>Alle Treppenkanten ersetzen — Begehung Gebäudeunterhalt geplant</t>
  </si>
  <si>
    <t xml:space="preserve">15.06.2025</t>
  </si>
  <si>
    <t>AUSWAHLLISTEN — Werte hier anpassen, um die Dateneingabe zu aktualisieren</t>
  </si>
  <si>
    <t xml:space="preserve">Beinahe-Unfall</t>
  </si>
  <si>
    <t>Fruehschicht</t>
  </si>
  <si>
    <t xml:space="preserve">Getroffen — bewegtes Objekt</t>
  </si>
  <si>
    <t xml:space="preserve">Kopf</t>
  </si>
  <si>
    <t xml:space="preserve">Vorschrift nicht eingehalten</t>
  </si>
  <si>
    <t>Keine Massnahme</t>
  </si>
  <si>
    <t xml:space="preserve">Routinearbeit</t>
  </si>
  <si>
    <t>Ja</t>
  </si>
  <si>
    <t xml:space="preserve">Montage</t>
  </si>
  <si>
    <t xml:space="preserve">Produktion</t>
  </si>
  <si>
    <t xml:space="preserve">Erste Hilfe</t>
  </si>
  <si>
    <t xml:space="preserve">Nachmittag</t>
  </si>
  <si>
    <t xml:space="preserve">Getroffen — fallendes Objekt</t>
  </si>
  <si>
    <t xml:space="preserve">Gesicht/Kopf</t>
  </si>
  <si>
    <t xml:space="preserve">Risswunde</t>
  </si>
  <si>
    <t xml:space="preserve">Keine Vorschrift vorhanden</t>
  </si>
  <si>
    <t>Massnahme umgangen</t>
  </si>
  <si>
    <t xml:space="preserve">Nicht-Routinearbeit</t>
  </si>
  <si>
    <t xml:space="preserve">CNC / Zerspanung</t>
  </si>
  <si>
    <t xml:space="preserve">Wartung</t>
  </si>
  <si>
    <t>Ärztliche Behandlung</t>
  </si>
  <si>
    <t xml:space="preserve">Nacht</t>
  </si>
  <si>
    <t>Getroffen — Wurfkoerper</t>
  </si>
  <si>
    <t xml:space="preserve">Auge(n)</t>
  </si>
  <si>
    <t>Abschürfung</t>
  </si>
  <si>
    <t xml:space="preserve">Vorschrift unzureichend</t>
  </si>
  <si>
    <t>Massnahme unzureichend</t>
  </si>
  <si>
    <t>n/a</t>
  </si>
  <si>
    <t xml:space="preserve">In Bearbeitung</t>
  </si>
  <si>
    <t xml:space="preserve">Schweissen / Schneiden</t>
  </si>
  <si>
    <t xml:space="preserve">Lager / Logistik</t>
  </si>
  <si>
    <t xml:space="preserve">Arbeitsausfall</t>
  </si>
  <si>
    <t>Tag (keine Schicht)</t>
  </si>
  <si>
    <t xml:space="preserve">Kontakt mit scharfer Kante</t>
  </si>
  <si>
    <t xml:space="preserve">Hals</t>
  </si>
  <si>
    <t xml:space="preserve">Prellung</t>
  </si>
  <si>
    <t xml:space="preserve">Schulung nicht durchgeführt</t>
  </si>
  <si>
    <t xml:space="preserve">Unbekannt</t>
  </si>
  <si>
    <t xml:space="preserve">Notfall</t>
  </si>
  <si>
    <t xml:space="preserve">Lackieren / Beschichten</t>
  </si>
  <si>
    <t xml:space="preserve">Qualität</t>
  </si>
  <si>
    <t>Tödlicher Unfall</t>
  </si>
  <si>
    <t xml:space="preserve">Kontakt mit heisser Oberfläche</t>
  </si>
  <si>
    <t xml:space="preserve">Schulter</t>
  </si>
  <si>
    <t>Knochenbruch</t>
  </si>
  <si>
    <t xml:space="preserve">Schulung unzureichend</t>
  </si>
  <si>
    <t xml:space="preserve">Inbetriebnahme</t>
  </si>
  <si>
    <t>Chemikalienhandhabung</t>
  </si>
  <si>
    <t>Technik</t>
  </si>
  <si>
    <t xml:space="preserve">Eingezogen / eingeklemmt</t>
  </si>
  <si>
    <t xml:space="preserve">Oberarm</t>
  </si>
  <si>
    <t xml:space="preserve">Verstauchung/Zerrung</t>
  </si>
  <si>
    <t xml:space="preserve">Aufsicht unzureichend</t>
  </si>
  <si>
    <t xml:space="preserve">Elektroarbeiten</t>
  </si>
  <si>
    <t>Büro / Administration</t>
  </si>
  <si>
    <t xml:space="preserve">Ausrutschen/Stolpern — gleiche Ebene</t>
  </si>
  <si>
    <t xml:space="preserve">Ellbogen</t>
  </si>
  <si>
    <t xml:space="preserve">Verrenkung</t>
  </si>
  <si>
    <t xml:space="preserve">Wartung nicht durchgeführt</t>
  </si>
  <si>
    <t xml:space="preserve">Materialtransport</t>
  </si>
  <si>
    <t>Gebäudetechnik</t>
  </si>
  <si>
    <t xml:space="preserve">Absturz</t>
  </si>
  <si>
    <t xml:space="preserve">Unterarm</t>
  </si>
  <si>
    <t xml:space="preserve">Verbrennung — thermisch</t>
  </si>
  <si>
    <t xml:space="preserve">Gerätedefekt / -versagen</t>
  </si>
  <si>
    <t xml:space="preserve">Stapler / Fahrzeugführung</t>
  </si>
  <si>
    <t xml:space="preserve">Überanstrengung / Ergonomie</t>
  </si>
  <si>
    <t xml:space="preserve">Handgelenk/Arm</t>
  </si>
  <si>
    <t>Verätzung</t>
  </si>
  <si>
    <t xml:space="preserve">Schutzvorrichtung fehlend/unzureichend</t>
  </si>
  <si>
    <t xml:space="preserve">Arbeiten in der Höhe</t>
  </si>
  <si>
    <t xml:space="preserve">Exposition gegenüber Stoff</t>
  </si>
  <si>
    <t xml:space="preserve">Hand/Finger</t>
  </si>
  <si>
    <t>Lichtbogen-/Funkenverbrennung</t>
  </si>
  <si>
    <t xml:space="preserve">Absicherung nicht durchgeführt</t>
  </si>
  <si>
    <t xml:space="preserve">Enger Raum</t>
  </si>
  <si>
    <t>Energieexposition / fehlende Absicherung</t>
  </si>
  <si>
    <t xml:space="preserve">Daumen</t>
  </si>
  <si>
    <t>Chemische Spritzung</t>
  </si>
  <si>
    <t xml:space="preserve">PSA nicht verfügbar</t>
  </si>
  <si>
    <t xml:space="preserve">Absicherung / Wartung</t>
  </si>
  <si>
    <t xml:space="preserve">Strassenverkehrsunfall</t>
  </si>
  <si>
    <t xml:space="preserve">Brust/Rumpf</t>
  </si>
  <si>
    <t xml:space="preserve">Quetschwunde</t>
  </si>
  <si>
    <t xml:space="preserve">PSA nicht getragen</t>
  </si>
  <si>
    <t xml:space="preserve">Be- / Entladen</t>
  </si>
  <si>
    <t xml:space="preserve">Tier / biologisch</t>
  </si>
  <si>
    <t xml:space="preserve">Rücken — oben</t>
  </si>
  <si>
    <t xml:space="preserve">Amputation</t>
  </si>
  <si>
    <t xml:space="preserve">Konstruktions-/Ergonomieproblem</t>
  </si>
  <si>
    <t xml:space="preserve">Gewalt / Aggression</t>
  </si>
  <si>
    <t xml:space="preserve">Rücken — unten</t>
  </si>
  <si>
    <t xml:space="preserve">Stichwunde</t>
  </si>
  <si>
    <t xml:space="preserve">Zeitdruck</t>
  </si>
  <si>
    <t xml:space="preserve">Reinigung / Hauswirtschaft</t>
  </si>
  <si>
    <t xml:space="preserve">Andere</t>
  </si>
  <si>
    <t xml:space="preserve">Hüfte</t>
  </si>
  <si>
    <t xml:space="preserve">Fremdkörper</t>
  </si>
  <si>
    <t xml:space="preserve">Gewohnheit / Betriebskultur</t>
  </si>
  <si>
    <t xml:space="preserve">Bau / Tiefbau</t>
  </si>
  <si>
    <t xml:space="preserve">Oberschenkel</t>
  </si>
  <si>
    <t>Gehörverlust</t>
  </si>
  <si>
    <t xml:space="preserve">Inspektionslücke</t>
  </si>
  <si>
    <t xml:space="preserve">Knie</t>
  </si>
  <si>
    <t xml:space="preserve">Atemwegserkrankung</t>
  </si>
  <si>
    <t>Lücke in der Fremdfirmensteuerung</t>
  </si>
  <si>
    <t xml:space="preserve">Unterschenkel</t>
  </si>
  <si>
    <t>Neue/r Mitarbeitende/r / unbekannte Aufgabe</t>
  </si>
  <si>
    <t>Knöchel/Fuss</t>
  </si>
  <si>
    <t xml:space="preserve">Zehen</t>
  </si>
  <si>
    <t xml:space="preserve">Mehrere</t>
  </si>
  <si>
    <t xml:space="preserve">Keine (Beinahe-Unfall)</t>
  </si>
  <si>
    <t>KENNZAHLEN — Ereignishäufigkeit und Schweregrad</t>
  </si>
  <si>
    <t>Geleistete Arbeitsstunden (Eingabe)</t>
  </si>
  <si>
    <t xml:space="preserve">← Jährlich aktualisieren</t>
  </si>
  <si>
    <t xml:space="preserve">Berichtsjahr</t>
  </si>
  <si>
    <t>Kennzahl</t>
  </si>
  <si>
    <t xml:space="preserve">Formel</t>
  </si>
  <si>
    <t>Wert</t>
  </si>
  <si>
    <t>Richtwert (Suva)</t>
  </si>
  <si>
    <t>Ereignisse total (alle Schweregrade)</t>
  </si>
  <si>
    <t>ANZAHL nicht leerer Ereignisse</t>
  </si>
  <si>
    <t xml:space="preserve">—</t>
  </si>
  <si>
    <t>Beinahe-Unfälle</t>
  </si>
  <si>
    <t>ZÄHLENWENN Schweregrad = 'Beinahe-Unfall'</t>
  </si>
  <si>
    <t>Erste-Hilfe-Fälle</t>
  </si>
  <si>
    <t>ZÄHLENWENN Schweregrad = 'Erste Hilfe'</t>
  </si>
  <si>
    <t>Fälle mit ärztlicher Behandlung</t>
  </si>
  <si>
    <t>ZÄHLENWENN Schweregrad = 'Ärztliche Behandlung'</t>
  </si>
  <si>
    <t>Unfälle mit Arbeitsausfall</t>
  </si>
  <si>
    <t>ZÄHLENWENN Schweregrad = 'Arbeitsausfall'</t>
  </si>
  <si>
    <t>Tödliche Unfälle</t>
  </si>
  <si>
    <t>ZÄHLENWENN Schweregrad = 'Tödlicher Unfall'</t>
  </si>
  <si>
    <t xml:space="preserve">0</t>
  </si>
  <si>
    <t>Ausfalltage total</t>
  </si>
  <si>
    <t>SUMME Spalte Ausfalltage</t>
  </si>
  <si>
    <t>Haeufigkeitsrate Arbeitsausfall</t>
  </si>
  <si>
    <t>(Arbeitsausfall-Fälle × 1.000.000) ÷ Stunden</t>
  </si>
  <si>
    <t>Branchenwert ca. 8–15 (Produktion)</t>
  </si>
  <si>
    <t>Schweregradrate</t>
  </si>
  <si>
    <t>(Ausfalltage × 1.000.000) ÷ Stunden</t>
  </si>
  <si>
    <t>Beinahe-Unfälle : Verletzungsfaelle</t>
  </si>
  <si>
    <t>Beinahe-Unfälle ÷ (EH+AEB+AA+TU)</t>
  </si>
  <si>
    <t>Ziel ≥ 3:1</t>
  </si>
  <si>
    <t>PSA-Nichttragequote</t>
  </si>
  <si>
    <t>PSA erforderlich, aber nicht getragen ÷ PSA erforderlich</t>
  </si>
  <si>
    <t>Ziel &lt; 5 %</t>
  </si>
  <si>
    <t>Anteil Ereignisse mit Fremdfirma</t>
  </si>
  <si>
    <t>Ereignisse mit Fremdfirma ÷ Ereignisse total</t>
  </si>
  <si>
    <t>Beobachten</t>
  </si>
  <si>
    <t>Anteil Ereignisse neue Mitarbeitende (&lt;6 Monate)</t>
  </si>
  <si>
    <t>Ereignisse mit Zeit in Funktion ≤ 6 Monate</t>
  </si>
  <si>
    <t>AUSWERTUNG — Diagramme aktualisieren sich automatisch aus der Dateneingabe</t>
  </si>
  <si>
    <t>Monat</t>
  </si>
  <si>
    <t>Anzahl</t>
  </si>
  <si>
    <t>Abteilung</t>
  </si>
  <si>
    <t>Tipp: Rechtsklick auf Diagramm → Kopieren → Als Bild in PowerPoint einfügen</t>
  </si>
  <si>
    <t>Jan</t>
  </si>
  <si>
    <t>Getroffen — bewegtes Objekt</t>
  </si>
  <si>
    <t>Vorschrift nicht eingehalten</t>
  </si>
  <si>
    <t>Feb</t>
  </si>
  <si>
    <t>Getroffen — fallendes Objekt</t>
  </si>
  <si>
    <t>Keine Vorschrift vorhanden</t>
  </si>
  <si>
    <t>März</t>
  </si>
  <si>
    <t>Vorschrift unzureichend</t>
  </si>
  <si>
    <t>Lager / Logistik</t>
  </si>
  <si>
    <t>Apr</t>
  </si>
  <si>
    <t>Schulung nicht durchgeführt</t>
  </si>
  <si>
    <t>Qualität</t>
  </si>
  <si>
    <t>Mai</t>
  </si>
  <si>
    <t>Kontakt mit heisser Oberflaeche</t>
  </si>
  <si>
    <t>Schulung unzureichend</t>
  </si>
  <si>
    <t>Jun</t>
  </si>
  <si>
    <t>Eingezogen / eingeklemmt</t>
  </si>
  <si>
    <t>Aufsicht unzureichend</t>
  </si>
  <si>
    <t>Büro / Administration</t>
  </si>
  <si>
    <t>Jul</t>
  </si>
  <si>
    <t>Wartung nicht durchgeführt</t>
  </si>
  <si>
    <t>Gebäudetechnik</t>
  </si>
  <si>
    <t>Aug</t>
  </si>
  <si>
    <t>Gerätedefekt / -versagen</t>
  </si>
  <si>
    <t>Fremdfirma</t>
  </si>
  <si>
    <t>Sep</t>
  </si>
  <si>
    <t>Ausrutschen/Stolpern — Treppe</t>
  </si>
  <si>
    <t>Schutzvorrichtung fehlend/unzureichend</t>
  </si>
  <si>
    <t>Okt</t>
  </si>
  <si>
    <t>Absicherung nicht durchgeführt</t>
  </si>
  <si>
    <t>Nov</t>
  </si>
  <si>
    <t>PSA nicht getragen</t>
  </si>
  <si>
    <t>Dez</t>
  </si>
  <si>
    <t>Andere</t>
  </si>
  <si>
    <t>Inspektionsluecke</t>
  </si>
  <si>
    <t>Neue/r Mitarbeitende/r / unbekannte Aufgabe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</si>
</sst>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0.00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sz val="10"/>
      <color rgb="FF2D2D2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1F497D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E8670A"/>
        <bgColor rgb="FFC0504D"/>
      </patternFill>
    </fill>
    <fill>
      <patternFill patternType="solid">
        <fgColor rgb="FFFAD7BC"/>
        <bgColor rgb="FFF4CCCC"/>
      </patternFill>
    </fill>
    <fill>
      <patternFill patternType="solid">
        <fgColor rgb="FF4A4A4A"/>
        <bgColor rgb="FF595959"/>
      </patternFill>
    </fill>
    <fill>
      <patternFill patternType="solid">
        <fgColor rgb="FFF2F2F2"/>
        <bgColor rgb="FFF9F9F9"/>
      </patternFill>
    </fill>
    <fill>
      <patternFill patternType="solid">
        <fgColor rgb="FFFFF8F0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F4CCCC"/>
        <bgColor rgb="FFFAD7B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7A2D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CE4D6"/>
      <rgbColor rgb="FFFFF8F0"/>
      <rgbColor rgb="FFF4CCCC"/>
      <rgbColor rgb="FFCC99FF"/>
      <rgbColor rgb="FFFAD7BC"/>
      <rgbColor rgb="FF4F81BD"/>
      <rgbColor rgb="FF33CCCC"/>
      <rgbColor rgb="FF9BBB59"/>
      <rgbColor rgb="FFFFCC00"/>
      <rgbColor rgb="FFFF9900"/>
      <rgbColor rgb="FFE8670A"/>
      <rgbColor rgb="FF8064A2"/>
      <rgbColor rgb="FF969696"/>
      <rgbColor rgb="FF003366"/>
      <rgbColor rgb="FF339966"/>
      <rgbColor rgb="FF003300"/>
      <rgbColor rgb="FF4A4A4A"/>
      <rgbColor rgb="FF993300"/>
      <rgbColor rgb="FF595959"/>
      <rgbColor rgb="FF1F497D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CH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Ereignisse nach Monat und Schweregrad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'Dashboard'!W1</c:f>
              <c:strCache>
                <c:ptCount val="1"/>
                <c:pt idx="0">
                  <c:v>Beinahe-Unfall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Maerz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'Dashboard'!$W$2:$W$13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'Dashboard'!X1</c:f>
              <c:strCache>
                <c:ptCount val="1"/>
                <c:pt idx="0">
                  <c:v>Erste Hilfe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Maerz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'Dashboard'!$X$2:$X$13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'Dashboard'!Y1</c:f>
              <c:strCache>
                <c:ptCount val="1"/>
                <c:pt idx="0">
                  <c:v>Aerztliche Behandlung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Maerz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'Dashboard'!$Y$2:$Y$13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'Dashboard'!Z1</c:f>
              <c:strCache>
                <c:ptCount val="1"/>
                <c:pt idx="0">
                  <c:v>Arbeitsausfall</c:v>
                </c:pt>
              </c:strCache>
            </c:strRef>
          </c:tx>
          <c:spPr>
            <a:solidFill>
              <a:srgbClr val="8064a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Maerz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'Dashboard'!$Z$2:$Z$13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97829998"/>
        <c:axId val="50409547"/>
      </c:barChart>
      <c:catAx>
        <c:axId val="978299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09547"/>
        <c:crosses val="autoZero"/>
        <c:auto val="1"/>
        <c:lblAlgn val="ctr"/>
        <c:lblOffset val="100"/>
        <c:noMultiLvlLbl val="0"/>
      </c:catAx>
      <c:valAx>
        <c:axId val="504095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Anzahl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8299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CH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Ereignisse nach Ereignisart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'Dashboard'!AC1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'Dashboard'!$AB$2:$AB$13</c:f>
              <c:strCache>
                <c:ptCount val="12"/>
                <c:pt idx="0">
                  <c:v>Getroffen — bewegtes Objekt</c:v>
                </c:pt>
                <c:pt idx="1">
                  <c:v>Getroffen — fallendes Objekt</c:v>
                </c:pt>
                <c:pt idx="2">
                  <c:v>Getroffen — Wurfkoerper</c:v>
                </c:pt>
                <c:pt idx="3">
                  <c:v>Kontakt mit scharfer Kante</c:v>
                </c:pt>
                <c:pt idx="4">
                  <c:v>Kontakt mit heisser Oberflaeche</c:v>
                </c:pt>
                <c:pt idx="5">
                  <c:v>Eingezogen / eingeklemmt</c:v>
                </c:pt>
                <c:pt idx="6">
                  <c:v>Ausrutschen/Stolpern — gleiche Ebene</c:v>
                </c:pt>
                <c:pt idx="7">
                  <c:v>Absturz</c:v>
                </c:pt>
                <c:pt idx="8">
                  <c:v>Ueberanstrengung / Ergonomie</c:v>
                </c:pt>
                <c:pt idx="9">
                  <c:v>Exposition gegenueber Stoff</c:v>
                </c:pt>
                <c:pt idx="10">
                  <c:v>Energieexposition / fehlende Absicherung</c:v>
                </c:pt>
                <c:pt idx="11">
                  <c:v>Andere</c:v>
                </c:pt>
              </c:strCache>
            </c:strRef>
          </c:cat>
          <c:val>
            <c:numRef>
              <c:f>'Dashboard'!$AC$2:$AC$13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2344067"/>
        <c:axId val="5804503"/>
      </c:barChart>
      <c:catAx>
        <c:axId val="9234406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Anzahl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4503"/>
        <c:crosses val="autoZero"/>
        <c:auto val="1"/>
        <c:lblAlgn val="ctr"/>
        <c:lblOffset val="100"/>
        <c:noMultiLvlLbl val="0"/>
      </c:catAx>
      <c:valAx>
        <c:axId val="5804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440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CH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Ereignisse nach Grundursache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'Dashboard'!AF1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'Dashboard'!$AE$2:$AE$15</c:f>
              <c:strCache>
                <c:ptCount val="14"/>
                <c:pt idx="0">
                  <c:v>Vorschrift nicht eingehalten</c:v>
                </c:pt>
                <c:pt idx="1">
                  <c:v>Keine Vorschrift vorhanden</c:v>
                </c:pt>
                <c:pt idx="2">
                  <c:v>Vorschrift unzureichend</c:v>
                </c:pt>
                <c:pt idx="3">
                  <c:v>Schulung nicht durchgefuehrt</c:v>
                </c:pt>
                <c:pt idx="4">
                  <c:v>Schulung unzureichend</c:v>
                </c:pt>
                <c:pt idx="5">
                  <c:v>Aufsicht unzureichend</c:v>
                </c:pt>
                <c:pt idx="6">
                  <c:v>Wartung nicht durchgefuehrt</c:v>
                </c:pt>
                <c:pt idx="7">
                  <c:v>Geraetedefekt / -versagen</c:v>
                </c:pt>
                <c:pt idx="8">
                  <c:v>Schutzvorrichtung fehlend/unzureichend</c:v>
                </c:pt>
                <c:pt idx="9">
                  <c:v>Absicherung nicht durchgefuehrt</c:v>
                </c:pt>
                <c:pt idx="10">
                  <c:v>PSA nicht getragen</c:v>
                </c:pt>
                <c:pt idx="11">
                  <c:v>Inspektionsluecke</c:v>
                </c:pt>
                <c:pt idx="12">
                  <c:v>Neuer Mitarbeiter / unbekannte Aufgabe</c:v>
                </c:pt>
                <c:pt idx="13">
                  <c:v>Andere</c:v>
                </c:pt>
              </c:strCache>
            </c:strRef>
          </c:cat>
          <c:val>
            <c:numRef>
              <c:f>'Dashboard'!$AF$2:$AF$15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82054533"/>
        <c:axId val="55190560"/>
      </c:barChart>
      <c:catAx>
        <c:axId val="820545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90560"/>
        <c:crosses val="autoZero"/>
        <c:auto val="1"/>
        <c:lblAlgn val="ctr"/>
        <c:lblOffset val="100"/>
        <c:noMultiLvlLbl val="0"/>
      </c:catAx>
      <c:valAx>
        <c:axId val="551905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545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CH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Ereignisse nach Abteilung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'Dashboard'!AI1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'Dashboard'!$AH$2:$AH$9</c:f>
              <c:strCache>
                <c:ptCount val="8"/>
                <c:pt idx="0">
                  <c:v>Produktion</c:v>
                </c:pt>
                <c:pt idx="1">
                  <c:v>Wartung</c:v>
                </c:pt>
                <c:pt idx="2">
                  <c:v>Lager / Logistik</c:v>
                </c:pt>
                <c:pt idx="3">
                  <c:v>Qualitaet</c:v>
                </c:pt>
                <c:pt idx="4">
                  <c:v>Technik</c:v>
                </c:pt>
                <c:pt idx="5">
                  <c:v>Buero / Administration</c:v>
                </c:pt>
                <c:pt idx="6">
                  <c:v>Gebaeudebetrieb</c:v>
                </c:pt>
                <c:pt idx="7">
                  <c:v>Fremdfirma</c:v>
                </c:pt>
              </c:strCache>
            </c:strRef>
          </c:cat>
          <c:val>
            <c:numRef>
              <c:f>'Dashboard'!$AI$2:$AI$9</c:f>
              <c:numCache>
                <c:formatCode>General</c:formatCode>
                <c:ptCount val="8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15304971"/>
        <c:axId val="92046849"/>
      </c:barChart>
      <c:catAx>
        <c:axId val="153049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46849"/>
        <c:crosses val="autoZero"/>
        <c:auto val="1"/>
        <c:lblAlgn val="ctr"/>
        <c:lblOffset val="100"/>
        <c:noMultiLvlLbl val="0"/>
      </c:catAx>
      <c:valAx>
        <c:axId val="92046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049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11</xdr:col>
      <xdr:colOff>363240</xdr:colOff>
      <xdr:row>23</xdr:row>
      <xdr:rowOff>147960</xdr:rowOff>
    </xdr:to>
    <xdr:graphicFrame>
      <xdr:nvGraphicFramePr>
        <xdr:cNvPr id="0" name="Chart 1"/>
        <xdr:cNvGraphicFramePr/>
      </xdr:nvGraphicFramePr>
      <xdr:xfrm>
        <a:off x="141120" y="733320"/>
        <a:ext cx="647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20</xdr:col>
      <xdr:colOff>254880</xdr:colOff>
      <xdr:row>23</xdr:row>
      <xdr:rowOff>147960</xdr:rowOff>
    </xdr:to>
    <xdr:graphicFrame>
      <xdr:nvGraphicFramePr>
        <xdr:cNvPr id="1" name="Chart 2"/>
        <xdr:cNvGraphicFramePr/>
      </xdr:nvGraphicFramePr>
      <xdr:xfrm>
        <a:off x="6256080" y="733320"/>
        <a:ext cx="575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22</xdr:row>
      <xdr:rowOff>0</xdr:rowOff>
    </xdr:from>
    <xdr:to>
      <xdr:col>11</xdr:col>
      <xdr:colOff>363240</xdr:colOff>
      <xdr:row>44</xdr:row>
      <xdr:rowOff>127080</xdr:rowOff>
    </xdr:to>
    <xdr:graphicFrame>
      <xdr:nvGraphicFramePr>
        <xdr:cNvPr id="2" name="Chart 3"/>
        <xdr:cNvGraphicFramePr/>
      </xdr:nvGraphicFramePr>
      <xdr:xfrm>
        <a:off x="141120" y="4352760"/>
        <a:ext cx="6478200" cy="43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22</xdr:row>
      <xdr:rowOff>0</xdr:rowOff>
    </xdr:from>
    <xdr:to>
      <xdr:col>19</xdr:col>
      <xdr:colOff>146160</xdr:colOff>
      <xdr:row>42</xdr:row>
      <xdr:rowOff>147960</xdr:rowOff>
    </xdr:to>
    <xdr:graphicFrame>
      <xdr:nvGraphicFramePr>
        <xdr:cNvPr id="3" name="Chart 4"/>
        <xdr:cNvGraphicFramePr/>
      </xdr:nvGraphicFramePr>
      <xdr:xfrm>
        <a:off x="6256080" y="4352760"/>
        <a:ext cx="503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4A4A"/>
    <pageSetUpPr fitToPage="false"/>
  </sheetPr>
  <dimension ref="B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  <col collapsed="false" customWidth="true" hidden="false" outlineLevel="0" max="4" min="4" style="1" width="20"/>
  </cols>
  <sheetData>
    <row r="1" customFormat="false" ht="30" hidden="false" customHeight="true" outlineLevel="0" collapsed="false">
      <c r="B1" s="2" t="s">
        <v>0</v>
      </c>
      <c r="C1" s="2"/>
      <c r="D1" s="2"/>
    </row>
    <row r="2" customFormat="false" ht="18" hidden="false" customHeight="true" outlineLevel="0" collapsed="false">
      <c r="B2" s="3" t="s">
        <v>1</v>
      </c>
      <c r="C2" s="3"/>
      <c r="D2" s="3"/>
    </row>
    <row r="4" customFormat="false" ht="18" hidden="false" customHeight="true" outlineLevel="0" collapsed="false"/>
    <row r="5" customFormat="false" ht="21.75" hidden="false" customHeight="true" outlineLevel="0" collapsed="false">
      <c r="B5" s="4" t="s">
        <v>2</v>
      </c>
      <c r="C5" s="4"/>
      <c r="D5" s="4"/>
    </row>
    <row r="6" customFormat="false" ht="18" hidden="false" customHeight="true" outlineLevel="0" collapsed="false">
      <c r="B6" s="5" t="s">
        <v>3</v>
      </c>
      <c r="C6" s="6" t="s">
        <v>4</v>
      </c>
    </row>
    <row r="7" customFormat="false" ht="18" hidden="false" customHeight="true" outlineLevel="0" collapsed="false">
      <c r="B7" s="5" t="s">
        <v>5</v>
      </c>
      <c r="C7" s="6" t="s">
        <v>6</v>
      </c>
    </row>
    <row r="8" customFormat="false" ht="18" hidden="false" customHeight="true" outlineLevel="0" collapsed="false">
      <c r="B8" s="5" t="s">
        <v>7</v>
      </c>
      <c r="C8" s="6" t="s">
        <v>8</v>
      </c>
    </row>
    <row r="9" customFormat="false" ht="18" hidden="false" customHeight="true" outlineLevel="0" collapsed="false">
      <c r="B9" s="5" t="s">
        <v>9</v>
      </c>
      <c r="C9" s="6" t="s">
        <v>10</v>
      </c>
    </row>
    <row r="10" customFormat="false" ht="18" hidden="false" customHeight="true" outlineLevel="0" collapsed="false"/>
    <row r="11" customFormat="false" ht="21.75" hidden="false" customHeight="true" outlineLevel="0" collapsed="false">
      <c r="B11" s="4" t="s">
        <v>11</v>
      </c>
      <c r="C11" s="4"/>
      <c r="D11" s="4"/>
    </row>
    <row r="12" customFormat="false" ht="18" hidden="false" customHeight="true" outlineLevel="0" collapsed="false">
      <c r="B12" s="5" t="s">
        <v>12</v>
      </c>
      <c r="C12" s="6" t="s">
        <v>13</v>
      </c>
    </row>
    <row r="13" customFormat="false" ht="18" hidden="false" customHeight="true" outlineLevel="0" collapsed="false">
      <c r="B13" s="5" t="s">
        <v>14</v>
      </c>
      <c r="C13" s="6" t="s">
        <v>15</v>
      </c>
    </row>
    <row r="14" customFormat="false" ht="18" hidden="false" customHeight="true" outlineLevel="0" collapsed="false">
      <c r="B14" s="5" t="s">
        <v>16</v>
      </c>
      <c r="C14" s="6" t="s">
        <v>17</v>
      </c>
    </row>
    <row r="15" customFormat="false" ht="18" hidden="false" customHeight="true" outlineLevel="0" collapsed="false">
      <c r="B15" s="5" t="s">
        <v>18</v>
      </c>
      <c r="C15" s="6" t="s">
        <v>19</v>
      </c>
    </row>
    <row r="16" customFormat="false" ht="18" hidden="false" customHeight="true" outlineLevel="0" collapsed="false">
      <c r="B16" s="5" t="s">
        <v>20</v>
      </c>
      <c r="C16" s="6" t="s">
        <v>21</v>
      </c>
    </row>
    <row r="17" customFormat="false" ht="18" hidden="false" customHeight="true" outlineLevel="0" collapsed="false">
      <c r="B17" s="5" t="s">
        <v>22</v>
      </c>
      <c r="C17" s="6" t="s">
        <v>23</v>
      </c>
    </row>
    <row r="18" customFormat="false" ht="18" hidden="false" customHeight="true" outlineLevel="0" collapsed="false">
      <c r="B18" s="5" t="s">
        <v>24</v>
      </c>
      <c r="C18" s="6" t="s">
        <v>25</v>
      </c>
    </row>
    <row r="19" customFormat="false" ht="18" hidden="false" customHeight="true" outlineLevel="0" collapsed="false">
      <c r="B19" s="5" t="s">
        <v>26</v>
      </c>
      <c r="C19" s="6" t="s">
        <v>27</v>
      </c>
    </row>
    <row r="20" customFormat="false" ht="18" hidden="false" customHeight="true" outlineLevel="0" collapsed="false">
      <c r="B20" s="5" t="s">
        <v>28</v>
      </c>
      <c r="C20" s="6" t="s">
        <v>29</v>
      </c>
    </row>
    <row r="21" customFormat="false" ht="18" hidden="false" customHeight="true" outlineLevel="0" collapsed="false"/>
    <row r="22" customFormat="false" ht="21.75" hidden="false" customHeight="true" outlineLevel="0" collapsed="false">
      <c r="B22" s="4" t="s">
        <v>30</v>
      </c>
      <c r="C22" s="4"/>
      <c r="D22" s="4"/>
    </row>
    <row r="23" customFormat="false" ht="18" hidden="false" customHeight="true" outlineLevel="0" collapsed="false">
      <c r="B23" s="5" t="s">
        <v>31</v>
      </c>
      <c r="C23" s="6" t="s">
        <v>32</v>
      </c>
    </row>
    <row r="24" customFormat="false" ht="18" hidden="false" customHeight="true" outlineLevel="0" collapsed="false">
      <c r="B24" s="5" t="s">
        <v>33</v>
      </c>
      <c r="C24" s="6" t="s">
        <v>34</v>
      </c>
    </row>
    <row r="25" customFormat="false" ht="18" hidden="false" customHeight="true" outlineLevel="0" collapsed="false">
      <c r="B25" s="5" t="s">
        <v>35</v>
      </c>
      <c r="C25" s="6" t="s">
        <v>36</v>
      </c>
    </row>
    <row r="26" customFormat="false" ht="18" hidden="false" customHeight="true" outlineLevel="0" collapsed="false">
      <c r="B26" s="5" t="s">
        <v>37</v>
      </c>
      <c r="C26" s="6" t="s">
        <v>38</v>
      </c>
    </row>
    <row r="27" customFormat="false" ht="18" hidden="false" customHeight="true" outlineLevel="0" collapsed="false">
      <c r="B27" s="5" t="s">
        <v>39</v>
      </c>
      <c r="C27" s="6" t="s">
        <v>40</v>
      </c>
    </row>
  </sheetData>
  <mergeCells count="5">
    <mergeCell ref="B1:D1"/>
    <mergeCell ref="B2:D2"/>
    <mergeCell ref="B5:D5"/>
    <mergeCell ref="B11:D1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0A"/>
    <pageSetUpPr fitToPage="false"/>
  </sheetPr>
  <dimension ref="A1:A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8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4" min="13" style="1" width="18"/>
    <col collapsed="false" customWidth="true" hidden="false" outlineLevel="0" max="15" min="15" style="1" width="20"/>
    <col collapsed="false" customWidth="true" hidden="false" outlineLevel="0" max="16" min="16" style="1" width="12"/>
    <col collapsed="false" customWidth="true" hidden="false" outlineLevel="0" max="17" min="17" style="1" width="18"/>
    <col collapsed="false" customWidth="true" hidden="false" outlineLevel="0" max="19" min="18" style="1" width="16"/>
    <col collapsed="false" customWidth="true" hidden="false" outlineLevel="0" max="20" min="20" style="1" width="22"/>
    <col collapsed="false" customWidth="true" hidden="false" outlineLevel="0" max="22" min="21" style="1" width="18"/>
    <col collapsed="false" customWidth="true" hidden="false" outlineLevel="0" max="23" min="23" style="1" width="14"/>
    <col collapsed="false" customWidth="true" hidden="false" outlineLevel="0" max="24" min="24" style="1" width="12"/>
    <col collapsed="false" customWidth="true" hidden="false" outlineLevel="0" max="25" min="25" style="1" width="22"/>
    <col collapsed="false" customWidth="true" hidden="false" outlineLevel="0" max="27" min="26" style="1" width="30"/>
    <col collapsed="false" customWidth="true" hidden="false" outlineLevel="0" max="28" min="28" style="1" width="25"/>
    <col collapsed="false" customWidth="true" hidden="false" outlineLevel="0" max="29" min="29" style="1" width="20"/>
    <col collapsed="false" customWidth="true" hidden="false" outlineLevel="0" max="30" min="30" style="1" width="45"/>
    <col collapsed="false" customWidth="true" hidden="false" outlineLevel="0" max="31" min="31" style="1" width="16"/>
    <col collapsed="false" customWidth="true" hidden="false" outlineLevel="0" max="32" min="32" style="1" width="35"/>
    <col collapsed="false" customWidth="true" hidden="false" outlineLevel="0" max="33" min="33" style="1" width="13"/>
    <col collapsed="false" customWidth="true" hidden="false" outlineLevel="0" max="34" min="34" style="1" width="12"/>
    <col collapsed="false" customWidth="true" hidden="false" outlineLevel="0" max="35" min="35" style="1" width="35"/>
  </cols>
  <sheetData>
    <row r="1" customFormat="false" ht="27.75" hidden="false" customHeight="true" outlineLevel="0" collapsed="false">
      <c r="A1" s="7" t="s">
        <v>41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customFormat="false" ht="15.75" hidden="false" customHeight="true" outlineLevel="0" collapsed="false">
      <c r="A2" s="8" t="s">
        <v>42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30" hidden="false" customHeight="true" outlineLevel="0" collapsed="false">
      <c r="A3" s="9" t="s">
        <v>12</v>
      </c>
      <c r="B3" s="9" t="s">
        <v>43</v>
      </c>
      <c r="C3" s="9" t="s">
        <v>44</v>
      </c>
      <c r="D3" s="9" t="s">
        <v>45</v>
      </c>
      <c r="E3" s="9" t="s">
        <v>46</v>
      </c>
      <c r="F3" s="9" t="s">
        <v>47</v>
      </c>
      <c r="G3" s="9" t="s">
        <v>48</v>
      </c>
      <c r="H3" s="9" t="s">
        <v>49</v>
      </c>
      <c r="I3" s="9" t="s">
        <v>50</v>
      </c>
      <c r="J3" s="9" t="s">
        <v>51</v>
      </c>
      <c r="K3" s="9" t="s">
        <v>52</v>
      </c>
      <c r="L3" s="9" t="s">
        <v>53</v>
      </c>
      <c r="M3" s="9" t="s">
        <v>54</v>
      </c>
      <c r="N3" s="9" t="s">
        <v>55</v>
      </c>
      <c r="O3" s="9" t="s">
        <v>56</v>
      </c>
      <c r="P3" s="9" t="s">
        <v>57</v>
      </c>
      <c r="Q3" s="9" t="s">
        <v>58</v>
      </c>
      <c r="R3" s="9" t="s">
        <v>59</v>
      </c>
      <c r="S3" s="9" t="s">
        <v>60</v>
      </c>
      <c r="T3" s="9" t="s">
        <v>61</v>
      </c>
      <c r="U3" s="9" t="s">
        <v>62</v>
      </c>
      <c r="V3" s="9" t="s">
        <v>63</v>
      </c>
      <c r="W3" s="9" t="s">
        <v>64</v>
      </c>
      <c r="X3" s="9" t="s">
        <v>65</v>
      </c>
      <c r="Y3" s="9" t="s">
        <v>66</v>
      </c>
      <c r="Z3" s="9" t="s">
        <v>67</v>
      </c>
      <c r="AA3" s="9" t="s">
        <v>68</v>
      </c>
      <c r="AB3" s="9" t="s">
        <v>69</v>
      </c>
      <c r="AC3" s="9" t="s">
        <v>70</v>
      </c>
      <c r="AD3" s="9" t="s">
        <v>71</v>
      </c>
      <c r="AE3" s="9" t="s">
        <v>72</v>
      </c>
      <c r="AF3" s="9" t="s">
        <v>73</v>
      </c>
      <c r="AG3" s="9" t="s">
        <v>74</v>
      </c>
      <c r="AH3" s="9" t="s">
        <v>75</v>
      </c>
      <c r="AI3" s="9" t="s">
        <v>76</v>
      </c>
    </row>
    <row r="4" customFormat="false" ht="30" hidden="false" customHeight="true" outlineLevel="0" collapsed="false">
      <c r="A4" s="10" t="s">
        <v>77</v>
      </c>
      <c r="B4" s="10"/>
      <c r="C4" s="11" t="n">
        <v>45672</v>
      </c>
      <c r="D4" s="10" t="n">
        <v>2025</v>
      </c>
      <c r="E4" s="10" t="n">
        <v>1</v>
      </c>
      <c r="F4" s="10" t="n">
        <f aca="false">WEEKNUM(C4,21)</f>
        <v>3</v>
      </c>
      <c r="G4" s="10" t="s">
        <v>78</v>
      </c>
      <c r="H4" s="10" t="s">
        <v>79</v>
      </c>
      <c r="I4" s="10" t="s">
        <v>80</v>
      </c>
      <c r="J4" s="12" t="s">
        <v>81</v>
      </c>
      <c r="K4" s="10" t="s">
        <v>82</v>
      </c>
      <c r="L4" s="10" t="n">
        <v>3</v>
      </c>
      <c r="M4" s="10" t="s">
        <v>83</v>
      </c>
      <c r="N4" s="10" t="s">
        <v>84</v>
      </c>
      <c r="O4" s="10" t="s">
        <v>85</v>
      </c>
      <c r="P4" s="10" t="s">
        <v>86</v>
      </c>
      <c r="Q4" s="10" t="s">
        <v>87</v>
      </c>
      <c r="R4" s="10" t="n">
        <v>8</v>
      </c>
      <c r="S4" s="10" t="s">
        <v>88</v>
      </c>
      <c r="T4" s="10" t="s">
        <v>89</v>
      </c>
      <c r="U4" s="10" t="s">
        <v>90</v>
      </c>
      <c r="V4" s="10" t="s">
        <v>91</v>
      </c>
      <c r="W4" s="10" t="s">
        <v>82</v>
      </c>
      <c r="X4" s="10" t="s">
        <v>86</v>
      </c>
      <c r="Y4" s="10" t="s">
        <v>92</v>
      </c>
      <c r="Z4" s="10" t="s">
        <v>93</v>
      </c>
      <c r="AA4" s="10" t="s">
        <v>94</v>
      </c>
      <c r="AB4" s="10" t="s">
        <v>95</v>
      </c>
      <c r="AC4" s="10" t="s">
        <v>96</v>
      </c>
      <c r="AD4" s="13" t="s">
        <v>97</v>
      </c>
      <c r="AE4" s="10" t="s">
        <v>82</v>
      </c>
      <c r="AF4" s="13" t="s">
        <v>98</v>
      </c>
      <c r="AG4" s="11" t="s">
        <v>99</v>
      </c>
      <c r="AH4" s="10" t="s">
        <v>82</v>
      </c>
      <c r="AI4" s="10"/>
    </row>
    <row r="5" customFormat="false" ht="30" hidden="false" customHeight="true" outlineLevel="0" collapsed="false">
      <c r="A5" s="14" t="s">
        <v>100</v>
      </c>
      <c r="B5" s="14"/>
      <c r="C5" s="15" t="n">
        <v>45691</v>
      </c>
      <c r="D5" s="14" t="n">
        <v>2025</v>
      </c>
      <c r="E5" s="14" t="n">
        <v>2</v>
      </c>
      <c r="F5" s="14" t="n">
        <f aca="false">WEEKNUM(C5,21)</f>
        <v>6</v>
      </c>
      <c r="G5" s="14" t="s">
        <v>101</v>
      </c>
      <c r="H5" s="14" t="s">
        <v>102</v>
      </c>
      <c r="I5" s="14" t="s">
        <v>80</v>
      </c>
      <c r="J5" s="16" t="s">
        <v>103</v>
      </c>
      <c r="K5" s="14" t="s">
        <v>82</v>
      </c>
      <c r="L5" s="14" t="n">
        <v>0</v>
      </c>
      <c r="M5" s="14" t="s">
        <v>104</v>
      </c>
      <c r="N5" s="14" t="s">
        <v>105</v>
      </c>
      <c r="O5" s="14" t="s">
        <v>106</v>
      </c>
      <c r="P5" s="14" t="s">
        <v>86</v>
      </c>
      <c r="Q5" s="14" t="s">
        <v>107</v>
      </c>
      <c r="R5" s="14" t="n">
        <v>24</v>
      </c>
      <c r="S5" s="14" t="s">
        <v>88</v>
      </c>
      <c r="T5" s="14" t="s">
        <v>108</v>
      </c>
      <c r="U5" s="14" t="s">
        <v>109</v>
      </c>
      <c r="V5" s="14" t="s">
        <v>110</v>
      </c>
      <c r="W5" s="14" t="s">
        <v>82</v>
      </c>
      <c r="X5" s="14" t="s">
        <v>82</v>
      </c>
      <c r="Y5" s="14" t="s">
        <v>111</v>
      </c>
      <c r="Z5" s="14" t="s">
        <v>112</v>
      </c>
      <c r="AA5" s="14" t="s">
        <v>113</v>
      </c>
      <c r="AB5" s="14" t="s">
        <v>114</v>
      </c>
      <c r="AC5" s="14" t="s">
        <v>115</v>
      </c>
      <c r="AD5" s="17" t="s">
        <v>116</v>
      </c>
      <c r="AE5" s="14" t="s">
        <v>82</v>
      </c>
      <c r="AF5" s="17" t="s">
        <v>117</v>
      </c>
      <c r="AG5" s="15" t="s">
        <v>118</v>
      </c>
      <c r="AH5" s="14" t="s">
        <v>82</v>
      </c>
      <c r="AI5" s="14"/>
    </row>
    <row r="6" customFormat="false" ht="30" hidden="false" customHeight="true" outlineLevel="0" collapsed="false">
      <c r="A6" s="18" t="s">
        <v>119</v>
      </c>
      <c r="B6" s="18"/>
      <c r="C6" s="19" t="n">
        <v>45702</v>
      </c>
      <c r="D6" s="18" t="n">
        <v>2025</v>
      </c>
      <c r="E6" s="18" t="n">
        <v>2</v>
      </c>
      <c r="F6" s="18" t="n">
        <f aca="false">WEEKNUM(C6,21)</f>
        <v>7</v>
      </c>
      <c r="G6" s="18" t="s">
        <v>120</v>
      </c>
      <c r="H6" s="18" t="s">
        <v>121</v>
      </c>
      <c r="I6" s="18" t="s">
        <v>122</v>
      </c>
      <c r="J6" s="20" t="s">
        <v>123</v>
      </c>
      <c r="K6" s="18" t="s">
        <v>82</v>
      </c>
      <c r="L6" s="18" t="n">
        <v>0</v>
      </c>
      <c r="M6" s="18" t="s">
        <v>124</v>
      </c>
      <c r="N6" s="18" t="s">
        <v>125</v>
      </c>
      <c r="O6" s="18" t="s">
        <v>126</v>
      </c>
      <c r="P6" s="18" t="s">
        <v>86</v>
      </c>
      <c r="Q6" s="18" t="s">
        <v>127</v>
      </c>
      <c r="R6" s="18" t="n">
        <v>36</v>
      </c>
      <c r="S6" s="18" t="s">
        <v>128</v>
      </c>
      <c r="T6" s="18" t="s">
        <v>129</v>
      </c>
      <c r="U6" s="18" t="s">
        <v>130</v>
      </c>
      <c r="V6" s="18" t="s">
        <v>123</v>
      </c>
      <c r="W6" s="18" t="s">
        <v>82</v>
      </c>
      <c r="X6" s="18" t="s">
        <v>82</v>
      </c>
      <c r="Y6" s="18" t="s">
        <v>131</v>
      </c>
      <c r="Z6" s="18" t="s">
        <v>132</v>
      </c>
      <c r="AA6" s="18" t="s">
        <v>133</v>
      </c>
      <c r="AB6" s="18" t="s">
        <v>134</v>
      </c>
      <c r="AC6" s="18" t="s">
        <v>135</v>
      </c>
      <c r="AD6" s="21" t="s">
        <v>136</v>
      </c>
      <c r="AE6" s="18" t="s">
        <v>82</v>
      </c>
      <c r="AF6" s="21" t="s">
        <v>137</v>
      </c>
      <c r="AG6" s="19" t="s">
        <v>99</v>
      </c>
      <c r="AH6" s="18" t="s">
        <v>86</v>
      </c>
      <c r="AI6" s="18"/>
    </row>
    <row r="7" customFormat="false" ht="30" hidden="false" customHeight="true" outlineLevel="0" collapsed="false">
      <c r="A7" s="14" t="s">
        <v>138</v>
      </c>
      <c r="B7" s="14"/>
      <c r="C7" s="15" t="n">
        <v>45717</v>
      </c>
      <c r="D7" s="14" t="n">
        <v>2025</v>
      </c>
      <c r="E7" s="14" t="n">
        <v>3</v>
      </c>
      <c r="F7" s="14" t="n">
        <f aca="false">WEEKNUM(C7,21)</f>
        <v>9</v>
      </c>
      <c r="G7" s="14" t="s">
        <v>139</v>
      </c>
      <c r="H7" s="14" t="s">
        <v>140</v>
      </c>
      <c r="I7" s="14" t="s">
        <v>80</v>
      </c>
      <c r="J7" s="22" t="s">
        <v>141</v>
      </c>
      <c r="K7" s="14" t="s">
        <v>82</v>
      </c>
      <c r="L7" s="14" t="n">
        <v>0</v>
      </c>
      <c r="M7" s="14" t="s">
        <v>83</v>
      </c>
      <c r="N7" s="14" t="s">
        <v>142</v>
      </c>
      <c r="O7" s="14" t="s">
        <v>143</v>
      </c>
      <c r="P7" s="14" t="s">
        <v>86</v>
      </c>
      <c r="Q7" s="14" t="s">
        <v>144</v>
      </c>
      <c r="R7" s="14" t="n">
        <v>3</v>
      </c>
      <c r="S7" s="14" t="s">
        <v>88</v>
      </c>
      <c r="T7" s="14" t="s">
        <v>145</v>
      </c>
      <c r="U7" s="14" t="s">
        <v>146</v>
      </c>
      <c r="V7" s="14" t="s">
        <v>147</v>
      </c>
      <c r="W7" s="14" t="s">
        <v>82</v>
      </c>
      <c r="X7" s="14" t="s">
        <v>86</v>
      </c>
      <c r="Y7" s="14" t="s">
        <v>148</v>
      </c>
      <c r="Z7" s="14" t="s">
        <v>149</v>
      </c>
      <c r="AA7" s="14" t="s">
        <v>150</v>
      </c>
      <c r="AB7" s="14" t="s">
        <v>151</v>
      </c>
      <c r="AC7" s="14" t="s">
        <v>115</v>
      </c>
      <c r="AD7" s="17" t="s">
        <v>152</v>
      </c>
      <c r="AE7" s="14" t="s">
        <v>82</v>
      </c>
      <c r="AF7" s="17" t="s">
        <v>153</v>
      </c>
      <c r="AG7" s="15" t="s">
        <v>154</v>
      </c>
      <c r="AH7" s="14" t="s">
        <v>82</v>
      </c>
      <c r="AI7" s="14"/>
    </row>
    <row r="8" customFormat="false" ht="30" hidden="false" customHeight="true" outlineLevel="0" collapsed="false">
      <c r="A8" s="10" t="s">
        <v>155</v>
      </c>
      <c r="B8" s="10"/>
      <c r="C8" s="11" t="n">
        <v>45734</v>
      </c>
      <c r="D8" s="10" t="n">
        <v>2025</v>
      </c>
      <c r="E8" s="10" t="n">
        <v>3</v>
      </c>
      <c r="F8" s="10" t="n">
        <f aca="false">WEEKNUM(C8,21)</f>
        <v>12</v>
      </c>
      <c r="G8" s="10" t="s">
        <v>156</v>
      </c>
      <c r="H8" s="10" t="s">
        <v>157</v>
      </c>
      <c r="I8" s="10" t="s">
        <v>80</v>
      </c>
      <c r="J8" s="12" t="s">
        <v>81</v>
      </c>
      <c r="K8" s="10" t="s">
        <v>82</v>
      </c>
      <c r="L8" s="10" t="n">
        <v>12</v>
      </c>
      <c r="M8" s="10" t="s">
        <v>158</v>
      </c>
      <c r="N8" s="10" t="s">
        <v>159</v>
      </c>
      <c r="O8" s="10" t="s">
        <v>160</v>
      </c>
      <c r="P8" s="10" t="s">
        <v>86</v>
      </c>
      <c r="Q8" s="10" t="s">
        <v>161</v>
      </c>
      <c r="R8" s="10" t="n">
        <v>60</v>
      </c>
      <c r="S8" s="10" t="s">
        <v>88</v>
      </c>
      <c r="T8" s="10" t="s">
        <v>162</v>
      </c>
      <c r="U8" s="10" t="s">
        <v>163</v>
      </c>
      <c r="V8" s="10" t="s">
        <v>164</v>
      </c>
      <c r="W8" s="10" t="s">
        <v>82</v>
      </c>
      <c r="X8" s="10" t="s">
        <v>82</v>
      </c>
      <c r="Y8" s="10" t="s">
        <v>165</v>
      </c>
      <c r="Z8" s="10" t="s">
        <v>166</v>
      </c>
      <c r="AA8" s="10" t="s">
        <v>167</v>
      </c>
      <c r="AB8" s="10" t="s">
        <v>168</v>
      </c>
      <c r="AC8" s="10" t="s">
        <v>135</v>
      </c>
      <c r="AD8" s="13" t="s">
        <v>169</v>
      </c>
      <c r="AE8" s="10" t="s">
        <v>82</v>
      </c>
      <c r="AF8" s="13" t="s">
        <v>170</v>
      </c>
      <c r="AG8" s="11" t="s">
        <v>171</v>
      </c>
      <c r="AH8" s="10" t="s">
        <v>82</v>
      </c>
      <c r="AI8" s="10"/>
    </row>
    <row r="9" customFormat="false" ht="30" hidden="false" customHeight="true" outlineLevel="0" collapsed="false">
      <c r="A9" s="14" t="s">
        <v>172</v>
      </c>
      <c r="B9" s="14"/>
      <c r="C9" s="15" t="n">
        <v>45749</v>
      </c>
      <c r="D9" s="14" t="n">
        <v>2025</v>
      </c>
      <c r="E9" s="14" t="n">
        <v>4</v>
      </c>
      <c r="F9" s="14" t="n">
        <f aca="false">WEEKNUM(C9,21)</f>
        <v>14</v>
      </c>
      <c r="G9" s="14" t="s">
        <v>78</v>
      </c>
      <c r="H9" s="14" t="s">
        <v>173</v>
      </c>
      <c r="I9" s="14" t="s">
        <v>80</v>
      </c>
      <c r="J9" s="16" t="s">
        <v>103</v>
      </c>
      <c r="K9" s="14" t="s">
        <v>82</v>
      </c>
      <c r="L9" s="14" t="n">
        <v>0</v>
      </c>
      <c r="M9" s="14" t="s">
        <v>83</v>
      </c>
      <c r="N9" s="14" t="s">
        <v>174</v>
      </c>
      <c r="O9" s="14" t="s">
        <v>175</v>
      </c>
      <c r="P9" s="14" t="s">
        <v>86</v>
      </c>
      <c r="Q9" s="14" t="s">
        <v>176</v>
      </c>
      <c r="R9" s="14" t="n">
        <v>48</v>
      </c>
      <c r="S9" s="14" t="s">
        <v>88</v>
      </c>
      <c r="T9" s="14" t="s">
        <v>177</v>
      </c>
      <c r="U9" s="14" t="s">
        <v>178</v>
      </c>
      <c r="V9" s="14" t="s">
        <v>179</v>
      </c>
      <c r="W9" s="14" t="s">
        <v>82</v>
      </c>
      <c r="X9" s="14" t="s">
        <v>82</v>
      </c>
      <c r="Y9" s="14" t="s">
        <v>180</v>
      </c>
      <c r="Z9" s="14" t="s">
        <v>181</v>
      </c>
      <c r="AA9" s="14" t="s">
        <v>182</v>
      </c>
      <c r="AB9" s="14" t="s">
        <v>183</v>
      </c>
      <c r="AC9" s="14" t="s">
        <v>96</v>
      </c>
      <c r="AD9" s="17" t="s">
        <v>184</v>
      </c>
      <c r="AE9" s="14" t="s">
        <v>82</v>
      </c>
      <c r="AF9" s="17" t="s">
        <v>185</v>
      </c>
      <c r="AG9" s="15" t="s">
        <v>186</v>
      </c>
      <c r="AH9" s="14" t="s">
        <v>82</v>
      </c>
      <c r="AI9" s="14"/>
    </row>
    <row r="10" customFormat="false" ht="30" hidden="false" customHeight="true" outlineLevel="0" collapsed="false">
      <c r="A10" s="18" t="s">
        <v>187</v>
      </c>
      <c r="B10" s="18"/>
      <c r="C10" s="19" t="n">
        <v>45762</v>
      </c>
      <c r="D10" s="18" t="n">
        <v>2025</v>
      </c>
      <c r="E10" s="18" t="n">
        <v>4</v>
      </c>
      <c r="F10" s="18" t="n">
        <f aca="false">WEEKNUM(C10,21)</f>
        <v>16</v>
      </c>
      <c r="G10" s="18" t="s">
        <v>156</v>
      </c>
      <c r="H10" s="18" t="s">
        <v>188</v>
      </c>
      <c r="I10" s="18" t="s">
        <v>122</v>
      </c>
      <c r="J10" s="20" t="s">
        <v>123</v>
      </c>
      <c r="K10" s="18" t="s">
        <v>82</v>
      </c>
      <c r="L10" s="18" t="n">
        <v>0</v>
      </c>
      <c r="M10" s="18" t="s">
        <v>104</v>
      </c>
      <c r="N10" s="18" t="s">
        <v>189</v>
      </c>
      <c r="O10" s="18" t="s">
        <v>190</v>
      </c>
      <c r="P10" s="18" t="s">
        <v>86</v>
      </c>
      <c r="Q10" s="18" t="s">
        <v>191</v>
      </c>
      <c r="R10" s="18" t="n">
        <v>12</v>
      </c>
      <c r="S10" s="18" t="s">
        <v>88</v>
      </c>
      <c r="T10" s="18" t="s">
        <v>192</v>
      </c>
      <c r="U10" s="18" t="s">
        <v>130</v>
      </c>
      <c r="V10" s="18" t="s">
        <v>123</v>
      </c>
      <c r="W10" s="18" t="s">
        <v>86</v>
      </c>
      <c r="X10" s="18" t="s">
        <v>86</v>
      </c>
      <c r="Y10" s="18" t="s">
        <v>193</v>
      </c>
      <c r="Z10" s="18" t="s">
        <v>194</v>
      </c>
      <c r="AA10" s="18" t="s">
        <v>195</v>
      </c>
      <c r="AB10" s="18" t="s">
        <v>196</v>
      </c>
      <c r="AC10" s="18" t="s">
        <v>135</v>
      </c>
      <c r="AD10" s="21" t="s">
        <v>197</v>
      </c>
      <c r="AE10" s="18" t="s">
        <v>82</v>
      </c>
      <c r="AF10" s="21" t="s">
        <v>198</v>
      </c>
      <c r="AG10" s="19" t="s">
        <v>199</v>
      </c>
      <c r="AH10" s="18" t="s">
        <v>86</v>
      </c>
      <c r="AI10" s="18"/>
    </row>
    <row r="11" customFormat="false" ht="30" hidden="false" customHeight="true" outlineLevel="0" collapsed="false">
      <c r="A11" s="14" t="s">
        <v>200</v>
      </c>
      <c r="B11" s="14"/>
      <c r="C11" s="15" t="n">
        <v>45775</v>
      </c>
      <c r="D11" s="14" t="n">
        <v>2025</v>
      </c>
      <c r="E11" s="14" t="n">
        <v>4</v>
      </c>
      <c r="F11" s="14" t="n">
        <f aca="false">WEEKNUM(C11,21)</f>
        <v>18</v>
      </c>
      <c r="G11" s="14" t="s">
        <v>101</v>
      </c>
      <c r="H11" s="14" t="s">
        <v>201</v>
      </c>
      <c r="I11" s="14" t="s">
        <v>80</v>
      </c>
      <c r="J11" s="22" t="s">
        <v>141</v>
      </c>
      <c r="K11" s="14" t="s">
        <v>82</v>
      </c>
      <c r="L11" s="14" t="n">
        <v>0</v>
      </c>
      <c r="M11" s="14" t="s">
        <v>124</v>
      </c>
      <c r="N11" s="14" t="s">
        <v>202</v>
      </c>
      <c r="O11" s="14" t="s">
        <v>203</v>
      </c>
      <c r="P11" s="14" t="s">
        <v>82</v>
      </c>
      <c r="Q11" s="14" t="s">
        <v>204</v>
      </c>
      <c r="R11" s="14" t="n">
        <v>1</v>
      </c>
      <c r="S11" s="14" t="s">
        <v>128</v>
      </c>
      <c r="T11" s="14" t="s">
        <v>205</v>
      </c>
      <c r="U11" s="14" t="s">
        <v>90</v>
      </c>
      <c r="V11" s="14" t="s">
        <v>91</v>
      </c>
      <c r="W11" s="14" t="s">
        <v>82</v>
      </c>
      <c r="X11" s="14" t="s">
        <v>86</v>
      </c>
      <c r="Y11" s="14" t="s">
        <v>206</v>
      </c>
      <c r="Z11" s="14" t="s">
        <v>207</v>
      </c>
      <c r="AA11" s="14" t="s">
        <v>208</v>
      </c>
      <c r="AB11" s="14" t="s">
        <v>209</v>
      </c>
      <c r="AC11" s="14" t="s">
        <v>135</v>
      </c>
      <c r="AD11" s="17" t="s">
        <v>210</v>
      </c>
      <c r="AE11" s="14" t="s">
        <v>82</v>
      </c>
      <c r="AF11" s="17" t="s">
        <v>211</v>
      </c>
      <c r="AG11" s="15" t="s">
        <v>212</v>
      </c>
      <c r="AH11" s="14" t="s">
        <v>82</v>
      </c>
      <c r="AI11" s="14"/>
    </row>
    <row r="12" customFormat="false" ht="30" hidden="false" customHeight="true" outlineLevel="0" collapsed="false">
      <c r="A12" s="18" t="s">
        <v>213</v>
      </c>
      <c r="B12" s="18"/>
      <c r="C12" s="19" t="n">
        <v>45789</v>
      </c>
      <c r="D12" s="18" t="n">
        <v>2025</v>
      </c>
      <c r="E12" s="18" t="n">
        <v>5</v>
      </c>
      <c r="F12" s="18" t="n">
        <f aca="false">WEEKNUM(C12,21)</f>
        <v>20</v>
      </c>
      <c r="G12" s="18" t="s">
        <v>101</v>
      </c>
      <c r="H12" s="18" t="s">
        <v>214</v>
      </c>
      <c r="I12" s="18" t="s">
        <v>215</v>
      </c>
      <c r="J12" s="20" t="s">
        <v>123</v>
      </c>
      <c r="K12" s="18" t="s">
        <v>82</v>
      </c>
      <c r="L12" s="18" t="n">
        <v>0</v>
      </c>
      <c r="M12" s="18" t="s">
        <v>83</v>
      </c>
      <c r="N12" s="18" t="s">
        <v>216</v>
      </c>
      <c r="O12" s="18" t="s">
        <v>217</v>
      </c>
      <c r="P12" s="18" t="s">
        <v>86</v>
      </c>
      <c r="Q12" s="18" t="s">
        <v>218</v>
      </c>
      <c r="R12" s="18" t="n">
        <v>18</v>
      </c>
      <c r="S12" s="18" t="s">
        <v>124</v>
      </c>
      <c r="T12" s="18" t="s">
        <v>129</v>
      </c>
      <c r="U12" s="18" t="s">
        <v>130</v>
      </c>
      <c r="V12" s="18" t="s">
        <v>123</v>
      </c>
      <c r="W12" s="18" t="s">
        <v>82</v>
      </c>
      <c r="X12" s="18" t="s">
        <v>82</v>
      </c>
      <c r="Y12" s="18" t="s">
        <v>219</v>
      </c>
      <c r="Z12" s="18" t="s">
        <v>220</v>
      </c>
      <c r="AA12" s="18" t="s">
        <v>221</v>
      </c>
      <c r="AB12" s="18" t="s">
        <v>222</v>
      </c>
      <c r="AC12" s="18" t="s">
        <v>115</v>
      </c>
      <c r="AD12" s="21" t="s">
        <v>223</v>
      </c>
      <c r="AE12" s="18" t="s">
        <v>82</v>
      </c>
      <c r="AF12" s="21" t="s">
        <v>224</v>
      </c>
      <c r="AG12" s="19" t="s">
        <v>225</v>
      </c>
      <c r="AH12" s="18" t="s">
        <v>86</v>
      </c>
      <c r="AI12" s="18" t="s">
        <v>226</v>
      </c>
    </row>
    <row r="13" customFormat="false" ht="23.25" hidden="false" customHeight="true" outlineLevel="0" collapsed="false">
      <c r="A13" s="14" t="s">
        <v>227</v>
      </c>
      <c r="B13" s="14"/>
      <c r="C13" s="15" t="n">
        <v>45811</v>
      </c>
      <c r="D13" s="14" t="n">
        <v>2025</v>
      </c>
      <c r="E13" s="14" t="n">
        <v>6</v>
      </c>
      <c r="F13" s="14" t="n">
        <f aca="false">WEEKNUM(C13,21)</f>
        <v>23</v>
      </c>
      <c r="G13" s="14" t="s">
        <v>156</v>
      </c>
      <c r="H13" s="14" t="s">
        <v>228</v>
      </c>
      <c r="I13" s="14" t="s">
        <v>80</v>
      </c>
      <c r="J13" s="16" t="s">
        <v>103</v>
      </c>
      <c r="K13" s="14" t="s">
        <v>82</v>
      </c>
      <c r="L13" s="14" t="n">
        <v>0</v>
      </c>
      <c r="M13" s="14" t="s">
        <v>229</v>
      </c>
      <c r="N13" s="14" t="s">
        <v>230</v>
      </c>
      <c r="O13" s="14" t="s">
        <v>231</v>
      </c>
      <c r="P13" s="14" t="s">
        <v>86</v>
      </c>
      <c r="Q13" s="14" t="s">
        <v>232</v>
      </c>
      <c r="R13" s="14" t="n">
        <v>84</v>
      </c>
      <c r="S13" s="14" t="s">
        <v>88</v>
      </c>
      <c r="T13" s="14" t="s">
        <v>233</v>
      </c>
      <c r="U13" s="14" t="s">
        <v>234</v>
      </c>
      <c r="V13" s="14" t="s">
        <v>235</v>
      </c>
      <c r="W13" s="14" t="s">
        <v>86</v>
      </c>
      <c r="X13" s="14" t="s">
        <v>86</v>
      </c>
      <c r="Y13" s="14" t="s">
        <v>236</v>
      </c>
      <c r="Z13" s="14" t="s">
        <v>237</v>
      </c>
      <c r="AA13" s="14" t="s">
        <v>238</v>
      </c>
      <c r="AB13" s="14" t="s">
        <v>239</v>
      </c>
      <c r="AC13" s="14" t="s">
        <v>115</v>
      </c>
      <c r="AD13" s="17" t="s">
        <v>240</v>
      </c>
      <c r="AE13" s="14" t="s">
        <v>82</v>
      </c>
      <c r="AF13" s="17" t="s">
        <v>241</v>
      </c>
      <c r="AG13" s="15" t="s">
        <v>242</v>
      </c>
      <c r="AH13" s="14" t="s">
        <v>86</v>
      </c>
      <c r="AI13" s="14"/>
    </row>
  </sheetData>
  <mergeCells count="2">
    <mergeCell ref="A1:AI1"/>
    <mergeCell ref="A2:A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8"/>
    <col collapsed="false" customWidth="true" hidden="false" outlineLevel="0" max="3" min="3" style="1" width="37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37"/>
    <col collapsed="false" customWidth="true" hidden="false" outlineLevel="0" max="7" min="7" style="1" width="14"/>
    <col collapsed="false" customWidth="true" hidden="false" outlineLevel="0" max="8" min="8" style="1" width="17"/>
    <col collapsed="false" customWidth="true" hidden="false" outlineLevel="0" max="10" min="9" style="1" width="5"/>
    <col collapsed="false" customWidth="true" hidden="false" outlineLevel="0" max="11" min="11" style="1" width="7"/>
    <col collapsed="false" customWidth="true" hidden="false" outlineLevel="0" max="13" min="12" style="1" width="15"/>
    <col collapsed="false" customWidth="true" hidden="false" outlineLevel="0" max="14" min="14" style="1" width="5"/>
    <col collapsed="false" customWidth="true" hidden="false" outlineLevel="0" max="15" min="15" style="1" width="32"/>
    <col collapsed="false" customWidth="true" hidden="false" outlineLevel="0" max="16" min="16" style="1" width="25"/>
  </cols>
  <sheetData>
    <row r="1" customFormat="false" ht="24" hidden="false" customHeight="true" outlineLevel="0" collapsed="false">
      <c r="A1" s="23" t="s">
        <v>243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21.75" hidden="false" customHeight="true" outlineLevel="0" collapsed="false">
      <c r="A2" s="24" t="s">
        <v>51</v>
      </c>
      <c r="B2" s="24" t="s">
        <v>50</v>
      </c>
      <c r="C2" s="24" t="s">
        <v>61</v>
      </c>
      <c r="D2" s="24" t="s">
        <v>62</v>
      </c>
      <c r="E2" s="24" t="s">
        <v>63</v>
      </c>
      <c r="F2" s="24" t="s">
        <v>68</v>
      </c>
      <c r="G2" s="24" t="s">
        <v>70</v>
      </c>
      <c r="H2" s="24" t="s">
        <v>60</v>
      </c>
      <c r="I2" s="24" t="s">
        <v>57</v>
      </c>
      <c r="J2" s="24" t="s">
        <v>64</v>
      </c>
      <c r="K2" s="24" t="s">
        <v>65</v>
      </c>
      <c r="L2" s="24" t="s">
        <v>72</v>
      </c>
      <c r="M2" s="24" t="s">
        <v>75</v>
      </c>
      <c r="N2" s="24" t="s">
        <v>52</v>
      </c>
      <c r="O2" s="24" t="s">
        <v>66</v>
      </c>
      <c r="P2" s="24" t="s">
        <v>54</v>
      </c>
    </row>
    <row r="3" customFormat="false" ht="15" hidden="false" customHeight="true" outlineLevel="0" collapsed="false">
      <c r="A3" s="25" t="s">
        <v>244</v>
      </c>
      <c r="B3" s="25" t="s">
        <v>245</v>
      </c>
      <c r="C3" s="25" t="s">
        <v>246</v>
      </c>
      <c r="D3" s="25" t="s">
        <v>247</v>
      </c>
      <c r="E3" s="25" t="s">
        <v>244</v>
      </c>
      <c r="F3" s="25" t="s">
        <v>248</v>
      </c>
      <c r="G3" s="25" t="s">
        <v>249</v>
      </c>
      <c r="H3" s="25" t="s">
        <v>250</v>
      </c>
      <c r="I3" s="25" t="s">
        <v>251</v>
      </c>
      <c r="J3" s="25" t="s">
        <v>251</v>
      </c>
      <c r="K3" s="25" t="s">
        <v>251</v>
      </c>
      <c r="L3" s="25" t="s">
        <v>251</v>
      </c>
      <c r="M3" s="25" t="s">
        <v>251</v>
      </c>
      <c r="N3" s="25" t="s">
        <v>251</v>
      </c>
      <c r="O3" s="25" t="s">
        <v>252</v>
      </c>
      <c r="P3" s="25" t="s">
        <v>253</v>
      </c>
    </row>
    <row r="4" customFormat="false" ht="15" hidden="false" customHeight="true" outlineLevel="0" collapsed="false">
      <c r="A4" s="26" t="s">
        <v>254</v>
      </c>
      <c r="B4" s="26" t="s">
        <v>255</v>
      </c>
      <c r="C4" s="26" t="s">
        <v>256</v>
      </c>
      <c r="D4" s="26" t="s">
        <v>257</v>
      </c>
      <c r="E4" s="26" t="s">
        <v>258</v>
      </c>
      <c r="F4" s="26" t="s">
        <v>259</v>
      </c>
      <c r="G4" s="26" t="s">
        <v>260</v>
      </c>
      <c r="H4" s="26" t="s">
        <v>261</v>
      </c>
      <c r="I4" s="26" t="s">
        <v>86</v>
      </c>
      <c r="J4" s="26" t="s">
        <v>86</v>
      </c>
      <c r="K4" s="26" t="s">
        <v>86</v>
      </c>
      <c r="L4" s="26" t="s">
        <v>86</v>
      </c>
      <c r="M4" s="26" t="s">
        <v>86</v>
      </c>
      <c r="N4" s="26" t="s">
        <v>86</v>
      </c>
      <c r="O4" s="26" t="s">
        <v>262</v>
      </c>
      <c r="P4" s="26" t="s">
        <v>263</v>
      </c>
    </row>
    <row r="5" customFormat="false" ht="15" hidden="false" customHeight="true" outlineLevel="0" collapsed="false">
      <c r="A5" s="25" t="s">
        <v>264</v>
      </c>
      <c r="B5" s="25" t="s">
        <v>265</v>
      </c>
      <c r="C5" s="25" t="s">
        <v>266</v>
      </c>
      <c r="D5" s="25" t="s">
        <v>267</v>
      </c>
      <c r="E5" s="25" t="s">
        <v>268</v>
      </c>
      <c r="F5" s="25" t="s">
        <v>269</v>
      </c>
      <c r="G5" s="25" t="s">
        <v>270</v>
      </c>
      <c r="H5" s="25" t="s">
        <v>263</v>
      </c>
      <c r="K5" s="25" t="s">
        <v>271</v>
      </c>
      <c r="L5" s="25" t="s">
        <v>272</v>
      </c>
      <c r="M5" s="25" t="s">
        <v>272</v>
      </c>
      <c r="O5" s="25" t="s">
        <v>273</v>
      </c>
      <c r="P5" s="25" t="s">
        <v>274</v>
      </c>
    </row>
    <row r="6" customFormat="false" ht="15" hidden="false" customHeight="true" outlineLevel="0" collapsed="false">
      <c r="A6" s="26" t="s">
        <v>275</v>
      </c>
      <c r="B6" s="26" t="s">
        <v>276</v>
      </c>
      <c r="C6" s="26" t="s">
        <v>277</v>
      </c>
      <c r="D6" s="26" t="s">
        <v>278</v>
      </c>
      <c r="E6" s="26" t="s">
        <v>279</v>
      </c>
      <c r="F6" s="26" t="s">
        <v>280</v>
      </c>
      <c r="G6" s="26" t="s">
        <v>281</v>
      </c>
      <c r="H6" s="26" t="s">
        <v>282</v>
      </c>
      <c r="O6" s="26" t="s">
        <v>283</v>
      </c>
      <c r="P6" s="26" t="s">
        <v>284</v>
      </c>
    </row>
    <row r="7" customFormat="false" ht="15" hidden="false" customHeight="true" outlineLevel="0" collapsed="false">
      <c r="A7" s="25" t="s">
        <v>285</v>
      </c>
      <c r="C7" s="25" t="s">
        <v>286</v>
      </c>
      <c r="D7" s="25" t="s">
        <v>287</v>
      </c>
      <c r="E7" s="25" t="s">
        <v>288</v>
      </c>
      <c r="F7" s="25" t="s">
        <v>289</v>
      </c>
      <c r="H7" s="25" t="s">
        <v>290</v>
      </c>
      <c r="O7" s="25" t="s">
        <v>291</v>
      </c>
      <c r="P7" s="25" t="s">
        <v>292</v>
      </c>
    </row>
    <row r="8" customFormat="false" ht="15" hidden="false" customHeight="true" outlineLevel="0" collapsed="false">
      <c r="C8" s="26" t="s">
        <v>293</v>
      </c>
      <c r="D8" s="26" t="s">
        <v>294</v>
      </c>
      <c r="E8" s="26" t="s">
        <v>295</v>
      </c>
      <c r="F8" s="26" t="s">
        <v>296</v>
      </c>
      <c r="O8" s="26" t="s">
        <v>297</v>
      </c>
      <c r="P8" s="26" t="s">
        <v>298</v>
      </c>
    </row>
    <row r="9" customFormat="false" ht="15" hidden="false" customHeight="true" outlineLevel="0" collapsed="false">
      <c r="C9" s="25" t="s">
        <v>299</v>
      </c>
      <c r="D9" s="25" t="s">
        <v>300</v>
      </c>
      <c r="E9" s="25" t="s">
        <v>301</v>
      </c>
      <c r="F9" s="25" t="s">
        <v>302</v>
      </c>
      <c r="O9" s="25" t="s">
        <v>303</v>
      </c>
      <c r="P9" s="25" t="s">
        <v>304</v>
      </c>
    </row>
    <row r="10" customFormat="false" ht="15" hidden="false" customHeight="true" outlineLevel="0" collapsed="false">
      <c r="C10" s="26" t="s">
        <v>305</v>
      </c>
      <c r="D10" s="26" t="s">
        <v>306</v>
      </c>
      <c r="E10" s="26" t="s">
        <v>307</v>
      </c>
      <c r="F10" s="26" t="s">
        <v>308</v>
      </c>
      <c r="O10" s="26" t="s">
        <v>309</v>
      </c>
      <c r="P10" s="26" t="s">
        <v>57</v>
      </c>
    </row>
    <row r="11" customFormat="false" ht="15" hidden="false" customHeight="true" outlineLevel="0" collapsed="false">
      <c r="C11" s="25" t="s">
        <v>310</v>
      </c>
      <c r="D11" s="25" t="s">
        <v>311</v>
      </c>
      <c r="E11" s="25" t="s">
        <v>312</v>
      </c>
      <c r="F11" s="25" t="s">
        <v>313</v>
      </c>
      <c r="O11" s="25" t="s">
        <v>314</v>
      </c>
    </row>
    <row r="12" customFormat="false" ht="15" hidden="false" customHeight="true" outlineLevel="0" collapsed="false">
      <c r="C12" s="26" t="s">
        <v>315</v>
      </c>
      <c r="D12" s="26" t="s">
        <v>316</v>
      </c>
      <c r="E12" s="26" t="s">
        <v>317</v>
      </c>
      <c r="F12" s="26" t="s">
        <v>318</v>
      </c>
      <c r="O12" s="26" t="s">
        <v>319</v>
      </c>
    </row>
    <row r="13" customFormat="false" ht="15" hidden="false" customHeight="true" outlineLevel="0" collapsed="false">
      <c r="C13" s="25" t="s">
        <v>320</v>
      </c>
      <c r="D13" s="25" t="s">
        <v>321</v>
      </c>
      <c r="E13" s="25" t="s">
        <v>322</v>
      </c>
      <c r="F13" s="25" t="s">
        <v>323</v>
      </c>
      <c r="O13" s="25" t="s">
        <v>324</v>
      </c>
    </row>
    <row r="14" customFormat="false" ht="15" hidden="false" customHeight="true" outlineLevel="0" collapsed="false">
      <c r="C14" s="26" t="s">
        <v>325</v>
      </c>
      <c r="D14" s="26" t="s">
        <v>326</v>
      </c>
      <c r="E14" s="26" t="s">
        <v>327</v>
      </c>
      <c r="F14" s="26" t="s">
        <v>328</v>
      </c>
      <c r="O14" s="26" t="s">
        <v>329</v>
      </c>
    </row>
    <row r="15" customFormat="false" ht="15" hidden="false" customHeight="true" outlineLevel="0" collapsed="false">
      <c r="C15" s="25" t="s">
        <v>330</v>
      </c>
      <c r="D15" s="25" t="s">
        <v>331</v>
      </c>
      <c r="E15" s="25" t="s">
        <v>332</v>
      </c>
      <c r="F15" s="25" t="s">
        <v>333</v>
      </c>
      <c r="O15" s="25" t="s">
        <v>298</v>
      </c>
    </row>
    <row r="16" customFormat="false" ht="15" hidden="false" customHeight="true" outlineLevel="0" collapsed="false">
      <c r="C16" s="26" t="s">
        <v>334</v>
      </c>
      <c r="D16" s="26" t="s">
        <v>335</v>
      </c>
      <c r="E16" s="26" t="s">
        <v>336</v>
      </c>
      <c r="F16" s="26" t="s">
        <v>337</v>
      </c>
      <c r="O16" s="26" t="s">
        <v>338</v>
      </c>
    </row>
    <row r="17" customFormat="false" ht="15" hidden="false" customHeight="true" outlineLevel="0" collapsed="false">
      <c r="C17" s="25" t="s">
        <v>339</v>
      </c>
      <c r="D17" s="25" t="s">
        <v>340</v>
      </c>
      <c r="E17" s="25" t="s">
        <v>341</v>
      </c>
      <c r="F17" s="25" t="s">
        <v>342</v>
      </c>
      <c r="O17" s="25" t="s">
        <v>343</v>
      </c>
    </row>
    <row r="18" customFormat="false" ht="15" hidden="false" customHeight="true" outlineLevel="0" collapsed="false">
      <c r="D18" s="26" t="s">
        <v>344</v>
      </c>
      <c r="E18" s="26" t="s">
        <v>345</v>
      </c>
      <c r="F18" s="26" t="s">
        <v>346</v>
      </c>
      <c r="O18" s="26" t="s">
        <v>339</v>
      </c>
    </row>
    <row r="19" customFormat="false" ht="15" hidden="false" customHeight="true" outlineLevel="0" collapsed="false">
      <c r="D19" s="25" t="s">
        <v>347</v>
      </c>
      <c r="E19" s="25" t="s">
        <v>348</v>
      </c>
      <c r="F19" s="25" t="s">
        <v>349</v>
      </c>
    </row>
    <row r="20" customFormat="false" ht="15" hidden="false" customHeight="true" outlineLevel="0" collapsed="false">
      <c r="D20" s="26" t="s">
        <v>350</v>
      </c>
      <c r="E20" s="26" t="s">
        <v>339</v>
      </c>
      <c r="F20" s="26" t="s">
        <v>351</v>
      </c>
    </row>
    <row r="21" customFormat="false" ht="15" hidden="false" customHeight="true" outlineLevel="0" collapsed="false">
      <c r="D21" s="25" t="s">
        <v>352</v>
      </c>
      <c r="F21" s="25" t="s">
        <v>339</v>
      </c>
    </row>
    <row r="22" customFormat="false" ht="15" hidden="false" customHeight="true" outlineLevel="0" collapsed="false">
      <c r="D22" s="26" t="s">
        <v>353</v>
      </c>
    </row>
    <row r="23" customFormat="false" ht="15" hidden="false" customHeight="true" outlineLevel="0" collapsed="false">
      <c r="D23" s="25" t="s">
        <v>354</v>
      </c>
    </row>
    <row r="24" customFormat="false" ht="15" hidden="false" customHeight="true" outlineLevel="0" collapsed="false">
      <c r="D24" s="26" t="s">
        <v>355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2D"/>
    <pageSetUpPr fitToPage="false"/>
  </sheetPr>
  <dimension ref="B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4" min="3" style="1" width="18"/>
    <col collapsed="false" customWidth="true" hidden="false" outlineLevel="0" max="5" min="5" style="1" width="22"/>
  </cols>
  <sheetData>
    <row r="1" customFormat="false" ht="27.75" hidden="false" customHeight="true" outlineLevel="0" collapsed="false">
      <c r="B1" s="7" t="s">
        <v>356</v>
      </c>
      <c r="C1" s="7"/>
      <c r="D1" s="7"/>
      <c r="E1" s="7"/>
    </row>
    <row r="3" customFormat="false" ht="15" hidden="false" customHeight="true" outlineLevel="0" collapsed="false">
      <c r="B3" s="27" t="s">
        <v>357</v>
      </c>
      <c r="C3" s="28" t="n">
        <v>50000</v>
      </c>
      <c r="D3" s="29" t="s">
        <v>358</v>
      </c>
    </row>
    <row r="4" customFormat="false" ht="15" hidden="false" customHeight="true" outlineLevel="0" collapsed="false">
      <c r="B4" s="27" t="s">
        <v>359</v>
      </c>
      <c r="C4" s="30" t="n">
        <v>2025</v>
      </c>
    </row>
    <row r="6" customFormat="false" ht="21.75" hidden="false" customHeight="true" outlineLevel="0" collapsed="false">
      <c r="B6" s="31" t="s">
        <v>360</v>
      </c>
      <c r="C6" s="31" t="s">
        <v>361</v>
      </c>
      <c r="D6" s="31" t="s">
        <v>362</v>
      </c>
      <c r="E6" s="31" t="s">
        <v>363</v>
      </c>
    </row>
    <row r="7" customFormat="false" ht="21.75" hidden="false" customHeight="true" outlineLevel="0" collapsed="false">
      <c r="B7" s="32" t="s">
        <v>364</v>
      </c>
      <c r="C7" s="33" t="n">
        <f aca="false">COUNTIF('Dateneingabe'!A4:A1000,"&lt;&gt;")</f>
        <v>10</v>
      </c>
      <c r="D7" s="34" t="s">
        <v>365</v>
      </c>
      <c r="E7" s="35" t="s">
        <v>366</v>
      </c>
    </row>
    <row r="8" customFormat="false" ht="21.75" hidden="false" customHeight="true" outlineLevel="0" collapsed="false">
      <c r="B8" s="36" t="s">
        <v>367</v>
      </c>
      <c r="C8" s="33" t="n">
        <f aca="false">COUNTIF('Dateneingabe'!J4:J1000,"Beinahe-Unfall")</f>
        <v>3</v>
      </c>
      <c r="D8" s="34" t="s">
        <v>368</v>
      </c>
      <c r="E8" s="37" t="s">
        <v>366</v>
      </c>
    </row>
    <row r="9" customFormat="false" ht="21.75" hidden="false" customHeight="true" outlineLevel="0" collapsed="false">
      <c r="B9" s="32" t="s">
        <v>369</v>
      </c>
      <c r="C9" s="33" t="n">
        <f aca="false">COUNTIF('Dateneingabe'!J4:J1000,"Erste Hilfe")</f>
        <v>3</v>
      </c>
      <c r="D9" s="34" t="s">
        <v>370</v>
      </c>
      <c r="E9" s="35" t="s">
        <v>366</v>
      </c>
    </row>
    <row r="10" customFormat="false" ht="21.75" hidden="false" customHeight="true" outlineLevel="0" collapsed="false">
      <c r="B10" s="36" t="s">
        <v>371</v>
      </c>
      <c r="C10" s="33" t="n">
        <f aca="false">COUNTIF('Dateneingabe'!J4:J1000,"Aerztliche Behandlung")</f>
        <v>2</v>
      </c>
      <c r="D10" s="34" t="s">
        <v>372</v>
      </c>
      <c r="E10" s="37" t="s">
        <v>366</v>
      </c>
    </row>
    <row r="11" customFormat="false" ht="21.75" hidden="false" customHeight="true" outlineLevel="0" collapsed="false">
      <c r="B11" s="32" t="s">
        <v>373</v>
      </c>
      <c r="C11" s="33" t="n">
        <f aca="false">COUNTIF('Dateneingabe'!J4:J1000,"Arbeitsausfall")</f>
        <v>2</v>
      </c>
      <c r="D11" s="34" t="s">
        <v>374</v>
      </c>
      <c r="E11" s="35" t="s">
        <v>366</v>
      </c>
    </row>
    <row r="12" customFormat="false" ht="21.75" hidden="false" customHeight="true" outlineLevel="0" collapsed="false">
      <c r="B12" s="36" t="s">
        <v>375</v>
      </c>
      <c r="C12" s="33" t="n">
        <f aca="false">COUNTIF('Dateneingabe'!J4:J1000,"Todesfall")</f>
        <v>0</v>
      </c>
      <c r="D12" s="34" t="s">
        <v>376</v>
      </c>
      <c r="E12" s="37" t="s">
        <v>377</v>
      </c>
    </row>
    <row r="13" customFormat="false" ht="21.75" hidden="false" customHeight="true" outlineLevel="0" collapsed="false">
      <c r="B13" s="32" t="s">
        <v>378</v>
      </c>
      <c r="C13" s="33" t="n">
        <f aca="false">SUM('Dateneingabe'!L4:L1000)</f>
        <v>15</v>
      </c>
      <c r="D13" s="34" t="s">
        <v>379</v>
      </c>
      <c r="E13" s="35" t="s">
        <v>366</v>
      </c>
    </row>
    <row r="14" customFormat="false" ht="21.75" hidden="false" customHeight="true" outlineLevel="0" collapsed="false">
      <c r="B14" s="36" t="s">
        <v>380</v>
      </c>
      <c r="C14" s="33" t="n">
        <f aca="false">IF(C3&gt;0,(C11*1000000)/C3,0)</f>
        <v>40</v>
      </c>
      <c r="D14" s="34" t="s">
        <v>381</v>
      </c>
      <c r="E14" s="37" t="s">
        <v>382</v>
      </c>
    </row>
    <row r="15" customFormat="false" ht="21.75" hidden="false" customHeight="true" outlineLevel="0" collapsed="false">
      <c r="B15" s="32" t="s">
        <v>383</v>
      </c>
      <c r="C15" s="38" t="n">
        <f aca="false">IF(C3&gt;0,(C13*1000000)/C3,0)</f>
        <v>300</v>
      </c>
      <c r="D15" s="34" t="s">
        <v>384</v>
      </c>
      <c r="E15" s="35" t="s">
        <v>366</v>
      </c>
    </row>
    <row r="16" customFormat="false" ht="21.75" hidden="false" customHeight="true" outlineLevel="0" collapsed="false">
      <c r="B16" s="36" t="s">
        <v>385</v>
      </c>
      <c r="C16" s="38" t="n">
        <f aca="false">IF((C9+C10+C11+C12)&gt;0,C8/(C9+C10+C11+C12),"—")</f>
        <v>0.428571428571429</v>
      </c>
      <c r="D16" s="34" t="s">
        <v>386</v>
      </c>
      <c r="E16" s="37" t="s">
        <v>387</v>
      </c>
    </row>
    <row r="17" customFormat="false" ht="21.75" hidden="false" customHeight="true" outlineLevel="0" collapsed="false">
      <c r="B17" s="32" t="s">
        <v>388</v>
      </c>
      <c r="C17" s="33" t="n">
        <f aca="false">IFERROR(COUNTIFS('Dateneingabe'!W4:W1000,"J",'Dateneingabe'!X4:X1000,"N")/COUNTIF('Dateneingabe'!W4:W1000,"J"),0)</f>
        <v>0.375</v>
      </c>
      <c r="D17" s="34" t="s">
        <v>389</v>
      </c>
      <c r="E17" s="35" t="s">
        <v>390</v>
      </c>
    </row>
    <row r="18" customFormat="false" ht="21.75" hidden="false" customHeight="true" outlineLevel="0" collapsed="false">
      <c r="B18" s="36" t="s">
        <v>391</v>
      </c>
      <c r="C18" s="39" t="n">
        <f aca="false">IFERROR(COUNTIF('Dateneingabe'!P4:P1000,"J")/C7,0)</f>
        <v>0.1</v>
      </c>
      <c r="D18" s="34" t="s">
        <v>392</v>
      </c>
      <c r="E18" s="37" t="s">
        <v>393</v>
      </c>
    </row>
    <row r="19" customFormat="false" ht="21.75" hidden="false" customHeight="true" outlineLevel="0" collapsed="false">
      <c r="B19" s="32" t="s">
        <v>394</v>
      </c>
      <c r="C19" s="39" t="n">
        <f aca="false">IFERROR(COUNTIF('Dateneingabe'!R4:R1000,"&lt;=6")/C7,0)</f>
        <v>0.2</v>
      </c>
      <c r="D19" s="34" t="s">
        <v>395</v>
      </c>
      <c r="E19" s="35" t="s">
        <v>393</v>
      </c>
    </row>
    <row r="20" customFormat="false" ht="15" hidden="false" customHeight="true" outlineLevel="0" collapsed="false">
      <c r="C20" s="40"/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B1:A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</cols>
  <sheetData>
    <row r="1" customFormat="false" ht="27.75" hidden="false" customHeight="true" outlineLevel="0" collapsed="false">
      <c r="B1" s="7" t="s">
        <v>396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V1" s="1" t="s">
        <v>397</v>
      </c>
      <c r="W1" s="1" t="s">
        <v>123</v>
      </c>
      <c r="X1" s="1" t="s">
        <v>103</v>
      </c>
      <c r="Y1" s="1" t="s">
        <v>141</v>
      </c>
      <c r="Z1" s="1" t="s">
        <v>81</v>
      </c>
      <c r="AB1" s="1" t="s">
        <v>18</v>
      </c>
      <c r="AC1" s="1" t="s">
        <v>398</v>
      </c>
      <c r="AE1" s="1" t="s">
        <v>22</v>
      </c>
      <c r="AF1" s="1" t="s">
        <v>398</v>
      </c>
      <c r="AH1" s="1" t="s">
        <v>399</v>
      </c>
      <c r="AI1" s="1" t="s">
        <v>398</v>
      </c>
    </row>
    <row r="2" customFormat="false" ht="15" hidden="false" customHeight="true" outlineLevel="0" collapsed="false">
      <c r="B2" s="41" t="s">
        <v>400</v>
      </c>
      <c r="V2" s="1" t="s">
        <v>401</v>
      </c>
      <c r="W2" s="1" t="n">
        <f aca="false">COUNTIFS('Dateneingabe'!D4:D1000,$C$4,'Dateneingabe'!E4:E1000,1,'Dateneingabe'!J4:J1000,"Beinahe-Unfall")</f>
        <v>0</v>
      </c>
      <c r="X2" s="1" t="n">
        <f aca="false">COUNTIFS('Dateneingabe'!D4:D1000,$C$4,'Dateneingabe'!E4:E1000,1,'Dateneingabe'!J4:J1000,"Erste Hilfe")</f>
        <v>0</v>
      </c>
      <c r="Y2" s="1" t="n">
        <f aca="false">COUNTIFS('Dateneingabe'!D4:D1000,$C$4,'Dateneingabe'!E4:E1000,1,'Dateneingabe'!J4:J1000,"Aerztliche Behandlung")</f>
        <v>0</v>
      </c>
      <c r="Z2" s="1" t="n">
        <f aca="false">COUNTIFS('Dateneingabe'!D4:D1000,$C$4,'Dateneingabe'!E4:E1000,1,'Dateneingabe'!J4:J1000,"Arbeitsausfall")</f>
        <v>1</v>
      </c>
      <c r="AB2" s="1" t="s">
        <v>402</v>
      </c>
      <c r="AC2" s="1" t="n">
        <f aca="false">COUNTIF('Dateneingabe'!T4:T1000,"Getroffen — bewegtes Objekt")</f>
        <v>1</v>
      </c>
      <c r="AE2" s="1" t="s">
        <v>403</v>
      </c>
      <c r="AF2" s="1" t="n">
        <f aca="false">COUNTIF('Dateneingabe'!AA4:AA1000,"Vorschrift nicht eingehalten")</f>
        <v>0</v>
      </c>
      <c r="AH2" s="1" t="s">
        <v>83</v>
      </c>
      <c r="AI2" s="1" t="n">
        <f aca="false">COUNTIF('Dateneingabe'!M4:M1000,"Produktion")</f>
        <v>4</v>
      </c>
    </row>
    <row r="3" customFormat="false" ht="15" hidden="false" customHeight="true" outlineLevel="0" collapsed="false">
      <c r="V3" s="1" t="s">
        <v>404</v>
      </c>
      <c r="W3" s="1" t="n">
        <f aca="false">COUNTIFS('Dateneingabe'!D4:D1000,$C$4,'Dateneingabe'!E4:E1000,2,'Dateneingabe'!J4:J1000,"Beinahe-Unfall")</f>
        <v>1</v>
      </c>
      <c r="X3" s="1" t="n">
        <f aca="false">COUNTIFS('Dateneingabe'!D4:D1000,$C$4,'Dateneingabe'!E4:E1000,2,'Dateneingabe'!J4:J1000,"Erste Hilfe")</f>
        <v>1</v>
      </c>
      <c r="Y3" s="1" t="n">
        <f aca="false">COUNTIFS('Dateneingabe'!D4:D1000,$C$4,'Dateneingabe'!E4:E1000,2,'Dateneingabe'!J4:J1000,"Aerztliche Behandlung")</f>
        <v>0</v>
      </c>
      <c r="Z3" s="1" t="n">
        <f aca="false">COUNTIFS('Dateneingabe'!D4:D1000,$C$4,'Dateneingabe'!E4:E1000,2,'Dateneingabe'!J4:J1000,"Arbeitsausfall")</f>
        <v>0</v>
      </c>
      <c r="AB3" s="1" t="s">
        <v>405</v>
      </c>
      <c r="AC3" s="1" t="n">
        <f aca="false">COUNTIF('Dateneingabe'!T4:T1000,"Getroffen — fallendes Objekt")</f>
        <v>1</v>
      </c>
      <c r="AE3" s="1" t="s">
        <v>406</v>
      </c>
      <c r="AF3" s="1" t="n">
        <f aca="false">COUNTIF('Dateneingabe'!AA4:AA1000,"Keine Vorschrift vorhanden")</f>
        <v>0</v>
      </c>
      <c r="AH3" s="1" t="s">
        <v>124</v>
      </c>
      <c r="AI3" s="1" t="n">
        <f aca="false">COUNTIF('Dateneingabe'!M4:M1000,"Wartung")</f>
        <v>2</v>
      </c>
    </row>
    <row r="4" customFormat="false" ht="15" hidden="false" customHeight="true" outlineLevel="0" collapsed="false">
      <c r="C4" s="1" t="n">
        <f aca="false">'Kennzahlen'!C4</f>
        <v>2025</v>
      </c>
      <c r="V4" s="1" t="s">
        <v>407</v>
      </c>
      <c r="W4" s="1" t="n">
        <f aca="false">COUNTIFS('Dateneingabe'!D4:D1000,$C$4,'Dateneingabe'!E4:E1000,3,'Dateneingabe'!J4:J1000,"Beinahe-Unfall")</f>
        <v>0</v>
      </c>
      <c r="X4" s="1" t="n">
        <f aca="false">COUNTIFS('Dateneingabe'!D4:D1000,$C$4,'Dateneingabe'!E4:E1000,3,'Dateneingabe'!J4:J1000,"Erste Hilfe")</f>
        <v>0</v>
      </c>
      <c r="Y4" s="1" t="n">
        <f aca="false">COUNTIFS('Dateneingabe'!D4:D1000,$C$4,'Dateneingabe'!E4:E1000,3,'Dateneingabe'!J4:J1000,"Aerztliche Behandlung")</f>
        <v>1</v>
      </c>
      <c r="Z4" s="1" t="n">
        <f aca="false">COUNTIFS('Dateneingabe'!D4:D1000,$C$4,'Dateneingabe'!E4:E1000,3,'Dateneingabe'!J4:J1000,"Arbeitsausfall")</f>
        <v>1</v>
      </c>
      <c r="AB4" s="1" t="s">
        <v>177</v>
      </c>
      <c r="AC4" s="1" t="n">
        <f aca="false">COUNTIF('Dateneingabe'!T4:T1000,"Getroffen — Wurfkoerper")</f>
        <v>1</v>
      </c>
      <c r="AE4" s="1" t="s">
        <v>408</v>
      </c>
      <c r="AF4" s="1" t="n">
        <f aca="false">COUNTIF('Dateneingabe'!AA4:AA1000,"Vorschrift unzureichend")</f>
        <v>0</v>
      </c>
      <c r="AH4" s="1" t="s">
        <v>409</v>
      </c>
      <c r="AI4" s="1" t="n">
        <f aca="false">COUNTIF('Dateneingabe'!M4:M1000,"Lager / Logistik")</f>
        <v>3</v>
      </c>
    </row>
    <row r="5" customFormat="false" ht="15" hidden="false" customHeight="true" outlineLevel="0" collapsed="false">
      <c r="V5" s="1" t="s">
        <v>410</v>
      </c>
      <c r="W5" s="1" t="n">
        <f aca="false">COUNTIFS('Dateneingabe'!D4:D1000,$C$4,'Dateneingabe'!E4:E1000,4,'Dateneingabe'!J4:J1000,"Beinahe-Unfall")</f>
        <v>1</v>
      </c>
      <c r="X5" s="1" t="n">
        <f aca="false">COUNTIFS('Dateneingabe'!D4:D1000,$C$4,'Dateneingabe'!E4:E1000,4,'Dateneingabe'!J4:J1000,"Erste Hilfe")</f>
        <v>1</v>
      </c>
      <c r="Y5" s="1" t="n">
        <f aca="false">COUNTIFS('Dateneingabe'!D4:D1000,$C$4,'Dateneingabe'!E4:E1000,4,'Dateneingabe'!J4:J1000,"Aerztliche Behandlung")</f>
        <v>1</v>
      </c>
      <c r="Z5" s="1" t="n">
        <f aca="false">COUNTIFS('Dateneingabe'!D4:D1000,$C$4,'Dateneingabe'!E4:E1000,4,'Dateneingabe'!J4:J1000,"Arbeitsausfall")</f>
        <v>0</v>
      </c>
      <c r="AB5" s="1" t="s">
        <v>205</v>
      </c>
      <c r="AC5" s="1" t="n">
        <f aca="false">COUNTIF('Dateneingabe'!T4:T1000,"Kontakt mit scharfer Kante")</f>
        <v>1</v>
      </c>
      <c r="AE5" s="1" t="s">
        <v>411</v>
      </c>
      <c r="AF5" s="1" t="n">
        <f aca="false">COUNTIF('Dateneingabe'!AA4:AA1000,"Schulung nicht durchgefuehrt")</f>
        <v>1</v>
      </c>
      <c r="AH5" s="1" t="s">
        <v>412</v>
      </c>
      <c r="AI5" s="1" t="n">
        <f aca="false">COUNTIF('Dateneingabe'!M4:M1000,"Qualitaet")</f>
        <v>0</v>
      </c>
    </row>
    <row r="6" customFormat="false" ht="15" hidden="false" customHeight="true" outlineLevel="0" collapsed="false">
      <c r="V6" s="1" t="s">
        <v>413</v>
      </c>
      <c r="W6" s="1" t="n">
        <f aca="false">COUNTIFS('Dateneingabe'!D4:D1000,$C$4,'Dateneingabe'!E4:E1000,5,'Dateneingabe'!J4:J1000,"Beinahe-Unfall")</f>
        <v>1</v>
      </c>
      <c r="X6" s="1" t="n">
        <f aca="false">COUNTIFS('Dateneingabe'!D4:D1000,$C$4,'Dateneingabe'!E4:E1000,5,'Dateneingabe'!J4:J1000,"Erste Hilfe")</f>
        <v>0</v>
      </c>
      <c r="Y6" s="1" t="n">
        <f aca="false">COUNTIFS('Dateneingabe'!D4:D1000,$C$4,'Dateneingabe'!E4:E1000,5,'Dateneingabe'!J4:J1000,"Aerztliche Behandlung")</f>
        <v>0</v>
      </c>
      <c r="Z6" s="1" t="n">
        <f aca="false">COUNTIFS('Dateneingabe'!D4:D1000,$C$4,'Dateneingabe'!E4:E1000,5,'Dateneingabe'!J4:J1000,"Arbeitsausfall")</f>
        <v>0</v>
      </c>
      <c r="AB6" s="1" t="s">
        <v>414</v>
      </c>
      <c r="AC6" s="1" t="n">
        <f aca="false">COUNTIF('Dateneingabe'!T4:T1000,"Kontakt mit heisser Oberflaeche")</f>
        <v>0</v>
      </c>
      <c r="AE6" s="1" t="s">
        <v>415</v>
      </c>
      <c r="AF6" s="1" t="n">
        <f aca="false">COUNTIF('Dateneingabe'!AA4:AA1000,"Schulung unzureichend")</f>
        <v>0</v>
      </c>
      <c r="AH6" s="1" t="s">
        <v>292</v>
      </c>
      <c r="AI6" s="1" t="n">
        <f aca="false">COUNTIF('Dateneingabe'!M4:M1000,"Technik")</f>
        <v>0</v>
      </c>
    </row>
    <row r="7" customFormat="false" ht="15" hidden="false" customHeight="true" outlineLevel="0" collapsed="false">
      <c r="V7" s="1" t="s">
        <v>416</v>
      </c>
      <c r="W7" s="1" t="n">
        <f aca="false">COUNTIFS('Dateneingabe'!D4:D1000,$C$4,'Dateneingabe'!E4:E1000,6,'Dateneingabe'!J4:J1000,"Beinahe-Unfall")</f>
        <v>0</v>
      </c>
      <c r="X7" s="1" t="n">
        <f aca="false">COUNTIFS('Dateneingabe'!D4:D1000,$C$4,'Dateneingabe'!E4:E1000,6,'Dateneingabe'!J4:J1000,"Erste Hilfe")</f>
        <v>1</v>
      </c>
      <c r="Y7" s="1" t="n">
        <f aca="false">COUNTIFS('Dateneingabe'!D4:D1000,$C$4,'Dateneingabe'!E4:E1000,6,'Dateneingabe'!J4:J1000,"Aerztliche Behandlung")</f>
        <v>0</v>
      </c>
      <c r="Z7" s="1" t="n">
        <f aca="false">COUNTIFS('Dateneingabe'!D4:D1000,$C$4,'Dateneingabe'!E4:E1000,6,'Dateneingabe'!J4:J1000,"Arbeitsausfall")</f>
        <v>0</v>
      </c>
      <c r="AB7" s="1" t="s">
        <v>417</v>
      </c>
      <c r="AC7" s="1" t="n">
        <f aca="false">COUNTIF('Dateneingabe'!T4:T1000,"Eingezogen / eingeklemmt")</f>
        <v>0</v>
      </c>
      <c r="AE7" s="1" t="s">
        <v>418</v>
      </c>
      <c r="AF7" s="1" t="n">
        <f aca="false">COUNTIF('Dateneingabe'!AA4:AA1000,"Aufsicht unzureichend")</f>
        <v>1</v>
      </c>
      <c r="AH7" s="1" t="s">
        <v>419</v>
      </c>
      <c r="AI7" s="1" t="n">
        <f aca="false">COUNTIF('Dateneingabe'!M4:M1000,"Buero / Administration")</f>
        <v>1</v>
      </c>
    </row>
    <row r="8" customFormat="false" ht="15" hidden="false" customHeight="true" outlineLevel="0" collapsed="false">
      <c r="V8" s="1" t="s">
        <v>420</v>
      </c>
      <c r="W8" s="1" t="n">
        <f aca="false">COUNTIFS('Dateneingabe'!D4:D1000,$C$4,'Dateneingabe'!E4:E1000,7,'Dateneingabe'!J4:J1000,"Beinahe-Unfall")</f>
        <v>0</v>
      </c>
      <c r="X8" s="1" t="n">
        <f aca="false">COUNTIFS('Dateneingabe'!D4:D1000,$C$4,'Dateneingabe'!E4:E1000,7,'Dateneingabe'!J4:J1000,"Erste Hilfe")</f>
        <v>0</v>
      </c>
      <c r="Y8" s="1" t="n">
        <f aca="false">COUNTIFS('Dateneingabe'!D4:D1000,$C$4,'Dateneingabe'!E4:E1000,7,'Dateneingabe'!J4:J1000,"Aerztliche Behandlung")</f>
        <v>0</v>
      </c>
      <c r="Z8" s="1" t="n">
        <f aca="false">COUNTIFS('Dateneingabe'!D4:D1000,$C$4,'Dateneingabe'!E4:E1000,7,'Dateneingabe'!J4:J1000,"Arbeitsausfall")</f>
        <v>0</v>
      </c>
      <c r="AB8" s="1" t="s">
        <v>108</v>
      </c>
      <c r="AC8" s="1" t="n">
        <f aca="false">COUNTIF('Dateneingabe'!T4:T1000,"Ausrutschen/Stolpern — gleiche Ebene")</f>
        <v>2</v>
      </c>
      <c r="AE8" s="1" t="s">
        <v>421</v>
      </c>
      <c r="AF8" s="1" t="n">
        <f aca="false">COUNTIF('Dateneingabe'!AA4:AA1000,"Wartung nicht durchgefuehrt")</f>
        <v>1</v>
      </c>
      <c r="AH8" s="1" t="s">
        <v>422</v>
      </c>
      <c r="AI8" s="1" t="n">
        <f aca="false">COUNTIF('Dateneingabe'!M4:M1000,"Gebaeudebetrieb")</f>
        <v>0</v>
      </c>
    </row>
    <row r="9" customFormat="false" ht="15" hidden="false" customHeight="true" outlineLevel="0" collapsed="false">
      <c r="V9" s="1" t="s">
        <v>423</v>
      </c>
      <c r="W9" s="1" t="n">
        <f aca="false">COUNTIFS('Dateneingabe'!D4:D1000,$C$4,'Dateneingabe'!E4:E1000,8,'Dateneingabe'!J4:J1000,"Beinahe-Unfall")</f>
        <v>0</v>
      </c>
      <c r="X9" s="1" t="n">
        <f aca="false">COUNTIFS('Dateneingabe'!D4:D1000,$C$4,'Dateneingabe'!E4:E1000,8,'Dateneingabe'!J4:J1000,"Erste Hilfe")</f>
        <v>0</v>
      </c>
      <c r="Y9" s="1" t="n">
        <f aca="false">COUNTIFS('Dateneingabe'!D4:D1000,$C$4,'Dateneingabe'!E4:E1000,8,'Dateneingabe'!J4:J1000,"Aerztliche Behandlung")</f>
        <v>0</v>
      </c>
      <c r="Z9" s="1" t="n">
        <f aca="false">COUNTIFS('Dateneingabe'!D4:D1000,$C$4,'Dateneingabe'!E4:E1000,8,'Dateneingabe'!J4:J1000,"Arbeitsausfall")</f>
        <v>0</v>
      </c>
      <c r="AB9" s="1" t="s">
        <v>162</v>
      </c>
      <c r="AC9" s="1" t="n">
        <f aca="false">COUNTIF('Dateneingabe'!T4:T1000,"Absturz")</f>
        <v>1</v>
      </c>
      <c r="AE9" s="1" t="s">
        <v>424</v>
      </c>
      <c r="AF9" s="1" t="n">
        <f aca="false">COUNTIF('Dateneingabe'!AA4:AA1000,"Geraetedefekt / -versagen")</f>
        <v>1</v>
      </c>
      <c r="AH9" s="1" t="s">
        <v>425</v>
      </c>
      <c r="AI9" s="1" t="n">
        <f aca="false">COUNTIF('Dateneingabe'!M4:M1000,"Fremdfirma")</f>
        <v>0</v>
      </c>
    </row>
    <row r="10" customFormat="false" ht="15" hidden="false" customHeight="true" outlineLevel="0" collapsed="false">
      <c r="V10" s="1" t="s">
        <v>426</v>
      </c>
      <c r="W10" s="1" t="n">
        <f aca="false">COUNTIFS('Dateneingabe'!D4:D1000,$C$4,'Dateneingabe'!E4:E1000,9,'Dateneingabe'!J4:J1000,"Beinahe-Unfall")</f>
        <v>0</v>
      </c>
      <c r="X10" s="1" t="n">
        <f aca="false">COUNTIFS('Dateneingabe'!D4:D1000,$C$4,'Dateneingabe'!E4:E1000,9,'Dateneingabe'!J4:J1000,"Erste Hilfe")</f>
        <v>0</v>
      </c>
      <c r="Y10" s="1" t="n">
        <f aca="false">COUNTIFS('Dateneingabe'!D4:D1000,$C$4,'Dateneingabe'!E4:E1000,9,'Dateneingabe'!J4:J1000,"Aerztliche Behandlung")</f>
        <v>0</v>
      </c>
      <c r="Z10" s="1" t="n">
        <f aca="false">COUNTIFS('Dateneingabe'!D4:D1000,$C$4,'Dateneingabe'!E4:E1000,9,'Dateneingabe'!J4:J1000,"Arbeitsausfall")</f>
        <v>0</v>
      </c>
      <c r="AB10" s="1" t="s">
        <v>427</v>
      </c>
      <c r="AC10" s="1" t="n">
        <f aca="false">COUNTIF('Dateneingabe'!T4:T1000,"Ueberanstrengung / Ergonomie")</f>
        <v>0</v>
      </c>
      <c r="AE10" s="1" t="s">
        <v>428</v>
      </c>
      <c r="AF10" s="1" t="n">
        <f aca="false">COUNTIF('Dateneingabe'!AA4:AA1000,"Schutzvorrichtung fehlend/unzureichend")</f>
        <v>1</v>
      </c>
    </row>
    <row r="11" customFormat="false" ht="15" hidden="false" customHeight="true" outlineLevel="0" collapsed="false">
      <c r="V11" s="1" t="s">
        <v>429</v>
      </c>
      <c r="W11" s="1" t="n">
        <f aca="false">COUNTIFS('Dateneingabe'!D4:D1000,$C$4,'Dateneingabe'!E4:E1000,10,'Dateneingabe'!J4:J1000,"Beinahe-Unfall")</f>
        <v>0</v>
      </c>
      <c r="X11" s="1" t="n">
        <f aca="false">COUNTIFS('Dateneingabe'!D4:D1000,$C$4,'Dateneingabe'!E4:E1000,10,'Dateneingabe'!J4:J1000,"Erste Hilfe")</f>
        <v>0</v>
      </c>
      <c r="Y11" s="1" t="n">
        <f aca="false">COUNTIFS('Dateneingabe'!D4:D1000,$C$4,'Dateneingabe'!E4:E1000,10,'Dateneingabe'!J4:J1000,"Aerztliche Behandlung")</f>
        <v>0</v>
      </c>
      <c r="Z11" s="1" t="n">
        <f aca="false">COUNTIFS('Dateneingabe'!D4:D1000,$C$4,'Dateneingabe'!E4:E1000,10,'Dateneingabe'!J4:J1000,"Arbeitsausfall")</f>
        <v>0</v>
      </c>
      <c r="AB11" s="1" t="s">
        <v>145</v>
      </c>
      <c r="AC11" s="1" t="n">
        <f aca="false">COUNTIF('Dateneingabe'!T4:T1000,"Exposition gegenueber Stoff")</f>
        <v>1</v>
      </c>
      <c r="AE11" s="1" t="s">
        <v>430</v>
      </c>
      <c r="AF11" s="1" t="n">
        <f aca="false">COUNTIF('Dateneingabe'!AA4:AA1000,"Absicherung nicht durchgefuehrt")</f>
        <v>2</v>
      </c>
    </row>
    <row r="12" customFormat="false" ht="15" hidden="false" customHeight="true" outlineLevel="0" collapsed="false">
      <c r="V12" s="1" t="s">
        <v>431</v>
      </c>
      <c r="W12" s="1" t="n">
        <f aca="false">COUNTIFS('Dateneingabe'!D4:D1000,$C$4,'Dateneingabe'!E4:E1000,11,'Dateneingabe'!J4:J1000,"Beinahe-Unfall")</f>
        <v>0</v>
      </c>
      <c r="X12" s="1" t="n">
        <f aca="false">COUNTIFS('Dateneingabe'!D4:D1000,$C$4,'Dateneingabe'!E4:E1000,11,'Dateneingabe'!J4:J1000,"Erste Hilfe")</f>
        <v>0</v>
      </c>
      <c r="Y12" s="1" t="n">
        <f aca="false">COUNTIFS('Dateneingabe'!D4:D1000,$C$4,'Dateneingabe'!E4:E1000,11,'Dateneingabe'!J4:J1000,"Aerztliche Behandlung")</f>
        <v>0</v>
      </c>
      <c r="Z12" s="1" t="n">
        <f aca="false">COUNTIFS('Dateneingabe'!D4:D1000,$C$4,'Dateneingabe'!E4:E1000,11,'Dateneingabe'!J4:J1000,"Arbeitsausfall")</f>
        <v>0</v>
      </c>
      <c r="AB12" s="1" t="s">
        <v>129</v>
      </c>
      <c r="AC12" s="1" t="n">
        <f aca="false">COUNTIF('Dateneingabe'!T4:T1000,"Energieexposition / fehlende Absicherung")</f>
        <v>2</v>
      </c>
      <c r="AE12" s="1" t="s">
        <v>432</v>
      </c>
      <c r="AF12" s="1" t="n">
        <f aca="false">COUNTIF('Dateneingabe'!AA4:AA1000,"PSA nicht getragen")</f>
        <v>0</v>
      </c>
    </row>
    <row r="13" customFormat="false" ht="15" hidden="false" customHeight="true" outlineLevel="0" collapsed="false">
      <c r="V13" s="1" t="s">
        <v>433</v>
      </c>
      <c r="W13" s="1" t="n">
        <f aca="false">COUNTIFS('Dateneingabe'!D4:D1000,$C$4,'Dateneingabe'!E4:E1000,12,'Dateneingabe'!J4:J1000,"Beinahe-Unfall")</f>
        <v>0</v>
      </c>
      <c r="X13" s="1" t="n">
        <f aca="false">COUNTIFS('Dateneingabe'!D4:D1000,$C$4,'Dateneingabe'!E4:E1000,12,'Dateneingabe'!J4:J1000,"Erste Hilfe")</f>
        <v>0</v>
      </c>
      <c r="Y13" s="1" t="n">
        <f aca="false">COUNTIFS('Dateneingabe'!D4:D1000,$C$4,'Dateneingabe'!E4:E1000,12,'Dateneingabe'!J4:J1000,"Aerztliche Behandlung")</f>
        <v>0</v>
      </c>
      <c r="Z13" s="1" t="n">
        <f aca="false">COUNTIFS('Dateneingabe'!D4:D1000,$C$4,'Dateneingabe'!E4:E1000,12,'Dateneingabe'!J4:J1000,"Arbeitsausfall")</f>
        <v>0</v>
      </c>
      <c r="AB13" s="1" t="s">
        <v>434</v>
      </c>
      <c r="AC13" s="1" t="n">
        <f aca="false">COUNTIF('Dateneingabe'!T4:T1000,"Andere")</f>
        <v>0</v>
      </c>
      <c r="AE13" s="1" t="s">
        <v>435</v>
      </c>
      <c r="AF13" s="1" t="n">
        <f aca="false">COUNTIF('Dateneingabe'!AA4:AA1000,"Inspektionsluecke")</f>
        <v>2</v>
      </c>
    </row>
    <row r="14" customFormat="false" ht="15" hidden="false" customHeight="true" outlineLevel="0" collapsed="false">
      <c r="AE14" s="1" t="s">
        <v>436</v>
      </c>
      <c r="AF14" s="1" t="n">
        <f aca="false">COUNTIF('Dateneingabe'!AA4:AA1000,"Neuer Mitarbeiter / unbekannte Aufgabe")</f>
        <v>1</v>
      </c>
    </row>
    <row r="15" customFormat="false" ht="15" hidden="false" customHeight="true" outlineLevel="0" collapsed="false">
      <c r="AE15" s="1" t="s">
        <v>434</v>
      </c>
      <c r="AF15" s="1" t="n">
        <f aca="false">COUNTIF('Dateneingabe'!AA4:AA1000,"Andere")</f>
        <v>0</v>
      </c>
    </row>
  </sheetData>
  <mergeCells count="1">
    <mergeCell ref="B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a7a56758-cff2-477b-bb1d-5b1675037bee}" enabled="1" method="Privileged" siteId="{98616167-5668-4e66-acbf-925e81df8b0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2026-03-15T21:51:25Z</dcterms:created>
  <dc:creator>openpyxl</dc:creator>
  <dc:description/>
  <dc:language>en-US</dc:language>
  <cp:lastModifiedBy/>
  <dcterms:modified xsi:type="dcterms:W3CDTF">2026-03-15T22:10:58Z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
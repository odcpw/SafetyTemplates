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🛈 Mode d'emploi" sheetId="1" state="visible" r:id="rId3"/>
    <sheet name="📋 Saisie des données" sheetId="2" state="visible" r:id="rId4"/>
    <sheet name="🔖 Listes de choix" sheetId="3" state="visible" r:id="rId5"/>
    <sheet name="📈 Indicateurs" sheetId="4" state="visible" r:id="rId6"/>
    <sheet name="📊 Tableau de bord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<sst xmlns="http://schemas.openxmlformats.org/spreadsheetml/2006/main" count="603" uniqueCount="434">
  <si>
    <t xml:space="preserve">REGISTRE ACCIDENTS &amp; PRESQUE-ACCIDENTS — MODE D'EMPLOI</t>
  </si>
  <si>
    <t xml:space="preserve">Conforme LAA Suisse | Arial 11pt | Palette SUVA</t>
  </si>
  <si>
    <t xml:space="preserve">SHEETS IN THIS WORKBOOK</t>
  </si>
  <si>
    <t xml:space="preserve">📋  Data Entry</t>
  </si>
  <si>
    <t xml:space="preserve">Enter all accidents and near misses here. One row per event. Do not delete columns.</t>
  </si>
  <si>
    <t xml:space="preserve">📊  Dashboard</t>
  </si>
  <si>
    <t xml:space="preserve">Auto-updating charts. Copy/paste into PowerPoint as Picture for presentations.</t>
  </si>
  <si>
    <t xml:space="preserve">📈  KPI Summary</t>
  </si>
  <si>
    <t xml:space="preserve">Key rates (LTIF, severity) calculated automatically from Data Entry.</t>
  </si>
  <si>
    <t xml:space="preserve">🔖  Drop-down Lists</t>
  </si>
  <si>
    <t xml:space="preserve">Reference lists for all drop-down fields. Adjust to your company needs.</t>
  </si>
  <si>
    <t xml:space="preserve">HOW TO USE THE DATA ENTRY SHEET</t>
  </si>
  <si>
    <t xml:space="preserve">UID</t>
  </si>
  <si>
    <t xml:space="preserve">Auto-generated. Do not edit.</t>
  </si>
  <si>
    <t xml:space="preserve">Severity</t>
  </si>
  <si>
    <t xml:space="preserve">Near Miss / First Aid / Medical Treatment / Lost Time / Fatality</t>
  </si>
  <si>
    <t xml:space="preserve">SUVA Case No.</t>
  </si>
  <si>
    <t xml:space="preserve">Enter once SUVA assigns a number. Leave blank for near misses.</t>
  </si>
  <si>
    <t xml:space="preserve">Event Type</t>
  </si>
  <si>
    <t xml:space="preserve">Pick from drop-down (struck by, fall, etc.). Based on SUVA event categories.</t>
  </si>
  <si>
    <t xml:space="preserve">Immediate Cause</t>
  </si>
  <si>
    <t xml:space="preserve">The direct physical cause (e.g. 'unguarded machine').</t>
  </si>
  <si>
    <t xml:space="preserve">Root Cause</t>
  </si>
  <si>
    <t xml:space="preserve">The underlying reason (e.g. 'maintenance not performed').</t>
  </si>
  <si>
    <t xml:space="preserve">Control Failure</t>
  </si>
  <si>
    <t xml:space="preserve">Which layer failed: No Control / Bypassed / Inadequate</t>
  </si>
  <si>
    <t xml:space="preserve">Work Type</t>
  </si>
  <si>
    <t xml:space="preserve">Routine / Non-Routine / Maintenance / Emergency — non-routine is almost always over-represented.</t>
  </si>
  <si>
    <t xml:space="preserve">Time in Role</t>
  </si>
  <si>
    <t xml:space="preserve">Worker's months in this specific role at time of event. Key new-worker indicator.</t>
  </si>
  <si>
    <t xml:space="preserve">TIPS</t>
  </si>
  <si>
    <t xml:space="preserve">Near misses</t>
  </si>
  <si>
    <t xml:space="preserve">Log near misses with Severity = 'Near Miss'. Same causal fields apply — this is where the learning is.</t>
  </si>
  <si>
    <t xml:space="preserve">Formatting</t>
  </si>
  <si>
    <t xml:space="preserve">Do not change column order. Charts and KPIs reference fixed columns.</t>
  </si>
  <si>
    <t xml:space="preserve">Drop-downs</t>
  </si>
  <si>
    <t xml:space="preserve">All pick-lists are on the 🔖 Drop-down Lists sheet. Add company-specific values there.</t>
  </si>
  <si>
    <t xml:space="preserve">Charts</t>
  </si>
  <si>
    <t xml:space="preserve">Go to 📊 Dashboard, right-click any chart → Copy → Paste Special → Picture in PowerPoint.</t>
  </si>
  <si>
    <t xml:space="preserve">LTIF formula</t>
  </si>
  <si>
    <t xml:space="preserve">Lost Time Injury Frequency = (LTI count × 1,000,000) ÷ Hours Worked. Update hours in KPI sheet.</t>
  </si>
  <si>
    <t xml:space="preserve">REGISTRE ACCIDENTS &amp; PRESQUE-ACCIDENTS</t>
  </si>
  <si>
    <t xml:space="preserve">Couleurs gravité :    Presque-accident (jaune)    Premiers secours (vert)    Traitement médical (saumon)    Arrêt de travail (rouge)    |  Lignes presque-accidents en jaune</t>
  </si>
  <si>
    <t xml:space="preserve">N° dossier SUVA</t>
  </si>
  <si>
    <t xml:space="preserve">Date</t>
  </si>
  <si>
    <t xml:space="preserve">Année</t>
  </si>
  <si>
    <t xml:space="preserve">Mois</t>
  </si>
  <si>
    <t xml:space="preserve">Semaine</t>
  </si>
  <si>
    <t xml:space="preserve">Jour</t>
  </si>
  <si>
    <t xml:space="preserve">Heure</t>
  </si>
  <si>
    <t xml:space="preserve">Équipe</t>
  </si>
  <si>
    <t xml:space="preserve">Gravité</t>
  </si>
  <si>
    <t xml:space="preserve">Déclarable LAA</t>
  </si>
  <si>
    <t xml:space="preserve">Jours perdus</t>
  </si>
  <si>
    <t xml:space="preserve">Département</t>
  </si>
  <si>
    <t xml:space="preserve">Lieu</t>
  </si>
  <si>
    <t xml:space="preserve">Nom / Prénom</t>
  </si>
  <si>
    <t xml:space="preserve">Entreprise ext.</t>
  </si>
  <si>
    <t xml:space="preserve">Fonction</t>
  </si>
  <si>
    <t xml:space="preserve">Ancienneté poste (mois)</t>
  </si>
  <si>
    <t xml:space="preserve">Type de travail</t>
  </si>
  <si>
    <t xml:space="preserve">Type d'événement</t>
  </si>
  <si>
    <t xml:space="preserve">Partie du corps</t>
  </si>
  <si>
    <t xml:space="preserve">Type de lésion</t>
  </si>
  <si>
    <t xml:space="preserve">EPI requis</t>
  </si>
  <si>
    <t xml:space="preserve">EPI porté</t>
  </si>
  <si>
    <t xml:space="preserve">Processus concerné</t>
  </si>
  <si>
    <t xml:space="preserve">Cause immédiate</t>
  </si>
  <si>
    <t xml:space="preserve">Cause racine</t>
  </si>
  <si>
    <t xml:space="preserve">Cause 2</t>
  </si>
  <si>
    <t xml:space="preserve">Défaillance mesure</t>
  </si>
  <si>
    <t xml:space="preserve">Description</t>
  </si>
  <si>
    <t xml:space="preserve">Enquête faite</t>
  </si>
  <si>
    <t xml:space="preserve">Mesure corrective</t>
  </si>
  <si>
    <t xml:space="preserve">Délai mesure</t>
  </si>
  <si>
    <t xml:space="preserve">Mesure clôturée</t>
  </si>
  <si>
    <t xml:space="preserve">Remarques</t>
  </si>
  <si>
    <t xml:space="preserve">ACC-2025-001</t>
  </si>
  <si>
    <t xml:space="preserve">Wednesday</t>
  </si>
  <si>
    <t xml:space="preserve">09:15</t>
  </si>
  <si>
    <t xml:space="preserve">Morning</t>
  </si>
  <si>
    <t xml:space="preserve">Lost Time</t>
  </si>
  <si>
    <t xml:space="preserve">Y</t>
  </si>
  <si>
    <t xml:space="preserve">Production</t>
  </si>
  <si>
    <t xml:space="preserve">Assembly Hall A</t>
  </si>
  <si>
    <t xml:space="preserve">Müller, Hans</t>
  </si>
  <si>
    <t xml:space="preserve">N</t>
  </si>
  <si>
    <t xml:space="preserve">Machine Operator</t>
  </si>
  <si>
    <t xml:space="preserve">Routine</t>
  </si>
  <si>
    <t xml:space="preserve">Struck by moving object</t>
  </si>
  <si>
    <t xml:space="preserve">Hand/Fingers</t>
  </si>
  <si>
    <t xml:space="preserve">Laceration</t>
  </si>
  <si>
    <t xml:space="preserve">Metal pressing</t>
  </si>
  <si>
    <t xml:space="preserve">Unguarded nip point on press</t>
  </si>
  <si>
    <t xml:space="preserve">Guarding removed for cleaning — not replaced</t>
  </si>
  <si>
    <t xml:space="preserve">No reinstatement checklist</t>
  </si>
  <si>
    <t xml:space="preserve">Bypassed</t>
  </si>
  <si>
    <t xml:space="preserve">Operator's right hand caught in press nip during routine cycle. 3 days lost.</t>
  </si>
  <si>
    <t xml:space="preserve">Install fixed guard + reinstatement checklist</t>
  </si>
  <si>
    <t xml:space="preserve">28.02.2025</t>
  </si>
  <si>
    <t xml:space="preserve">ACC-2025-002</t>
  </si>
  <si>
    <t xml:space="preserve">Monday</t>
  </si>
  <si>
    <t xml:space="preserve">11:30</t>
  </si>
  <si>
    <t xml:space="preserve">First Aid</t>
  </si>
  <si>
    <t xml:space="preserve">Warehouse</t>
  </si>
  <si>
    <t xml:space="preserve">Loading Dock</t>
  </si>
  <si>
    <t xml:space="preserve">Bernasconi, Sara</t>
  </si>
  <si>
    <t xml:space="preserve">Forklift Driver</t>
  </si>
  <si>
    <t xml:space="preserve">Slip/Trip/Fall — same level</t>
  </si>
  <si>
    <t xml:space="preserve">Knee</t>
  </si>
  <si>
    <t xml:space="preserve">Bruising/Contusion</t>
  </si>
  <si>
    <t xml:space="preserve">Goods receiving</t>
  </si>
  <si>
    <t xml:space="preserve">Wet floor from roof leak</t>
  </si>
  <si>
    <t xml:space="preserve">Roof maintenance overdue</t>
  </si>
  <si>
    <t xml:space="preserve">No wet floor sign</t>
  </si>
  <si>
    <t xml:space="preserve">Inadequate</t>
  </si>
  <si>
    <t xml:space="preserve">Driver slipped on wet concrete at dock entrance. First aid only.</t>
  </si>
  <si>
    <t xml:space="preserve">Repair roof — interim: anti-slip mat + signage</t>
  </si>
  <si>
    <t xml:space="preserve">20.02.2025</t>
  </si>
  <si>
    <t xml:space="preserve">ACC-2025-003</t>
  </si>
  <si>
    <t xml:space="preserve">Friday</t>
  </si>
  <si>
    <t xml:space="preserve">14:45</t>
  </si>
  <si>
    <t xml:space="preserve">Afternoon</t>
  </si>
  <si>
    <t xml:space="preserve">Near Miss</t>
  </si>
  <si>
    <t xml:space="preserve">Maintenance</t>
  </si>
  <si>
    <t xml:space="preserve">Boiler Room</t>
  </si>
  <si>
    <t xml:space="preserve">Zimmermann, Beat</t>
  </si>
  <si>
    <t xml:space="preserve">Maintenance Tech</t>
  </si>
  <si>
    <t xml:space="preserve">Non-Routine</t>
  </si>
  <si>
    <t xml:space="preserve">Exposure to energy / LOTO failure</t>
  </si>
  <si>
    <t xml:space="preserve">None</t>
  </si>
  <si>
    <t xml:space="preserve">Boiler maintenance</t>
  </si>
  <si>
    <t xml:space="preserve">Isolation not verified before opening panel</t>
  </si>
  <si>
    <t xml:space="preserve">LOTO procedure not followed</t>
  </si>
  <si>
    <t xml:space="preserve">Time pressure from production</t>
  </si>
  <si>
    <t xml:space="preserve">No Control</t>
  </si>
  <si>
    <t xml:space="preserve">Technician opened electrical panel without verifying isolation. Energised bus bar present.</t>
  </si>
  <si>
    <t xml:space="preserve">LOTO refresher training + permit required for this task</t>
  </si>
  <si>
    <t xml:space="preserve">ACC-2025-004</t>
  </si>
  <si>
    <t xml:space="preserve">Saturday</t>
  </si>
  <si>
    <t xml:space="preserve">08:20</t>
  </si>
  <si>
    <t xml:space="preserve">Medical Treatment</t>
  </si>
  <si>
    <t xml:space="preserve">Paint Shop</t>
  </si>
  <si>
    <t xml:space="preserve">Favre, Michel</t>
  </si>
  <si>
    <t xml:space="preserve">Painter</t>
  </si>
  <si>
    <t xml:space="preserve">Exposure to substance</t>
  </si>
  <si>
    <t xml:space="preserve">Eyes</t>
  </si>
  <si>
    <t xml:space="preserve">Chemical splash</t>
  </si>
  <si>
    <t xml:space="preserve">Surface painting</t>
  </si>
  <si>
    <t xml:space="preserve">Splash from solvent during container opening</t>
  </si>
  <si>
    <t xml:space="preserve">Incorrect technique — new worker</t>
  </si>
  <si>
    <t xml:space="preserve">No buddy system for new starters</t>
  </si>
  <si>
    <t xml:space="preserve">Solvent splashed into eyes during container opening. Eyewash used. New employee (3 months in role).</t>
  </si>
  <si>
    <t xml:space="preserve">Buddy system for first 6 months + goggles mandatory check</t>
  </si>
  <si>
    <t xml:space="preserve">15.03.2025</t>
  </si>
  <si>
    <t xml:space="preserve">ACC-2025-005</t>
  </si>
  <si>
    <t xml:space="preserve">Tuesday</t>
  </si>
  <si>
    <t xml:space="preserve">10:00</t>
  </si>
  <si>
    <t xml:space="preserve">Logistics</t>
  </si>
  <si>
    <t xml:space="preserve">External Yard</t>
  </si>
  <si>
    <t xml:space="preserve">Keller, Petra</t>
  </si>
  <si>
    <t xml:space="preserve">Logistics Coordinator</t>
  </si>
  <si>
    <t xml:space="preserve">Fall from height</t>
  </si>
  <si>
    <t xml:space="preserve">Ankle/Foot</t>
  </si>
  <si>
    <t xml:space="preserve">Fracture</t>
  </si>
  <si>
    <t xml:space="preserve">Container unloading</t>
  </si>
  <si>
    <t xml:space="preserve">Missing step on container access ladder</t>
  </si>
  <si>
    <t xml:space="preserve">Damaged equipment in service</t>
  </si>
  <si>
    <t xml:space="preserve">Pre-use inspection not performed</t>
  </si>
  <si>
    <t xml:space="preserve">Employee fell 1.2m from damaged container ladder. Ankle fracture. 12 days lost.</t>
  </si>
  <si>
    <t xml:space="preserve">Daily pre-use inspection form for container ladders</t>
  </si>
  <si>
    <t xml:space="preserve">01.04.2025</t>
  </si>
  <si>
    <t xml:space="preserve">ACC-2025-006</t>
  </si>
  <si>
    <t xml:space="preserve">13:50</t>
  </si>
  <si>
    <t xml:space="preserve">Welding Bay</t>
  </si>
  <si>
    <t xml:space="preserve">Sutter, Urs</t>
  </si>
  <si>
    <t xml:space="preserve">Welder</t>
  </si>
  <si>
    <t xml:space="preserve">Struck by — projectile</t>
  </si>
  <si>
    <t xml:space="preserve">Face/Head</t>
  </si>
  <si>
    <t xml:space="preserve">Flash burn</t>
  </si>
  <si>
    <t xml:space="preserve">MIG welding</t>
  </si>
  <si>
    <t xml:space="preserve">Weld spatter to face — visor raised briefly</t>
  </si>
  <si>
    <t xml:space="preserve">Habitual visor lifting between passes</t>
  </si>
  <si>
    <t xml:space="preserve">Cultural norm not addressed</t>
  </si>
  <si>
    <t xml:space="preserve">Welder lifted visor between passes — spatter. Minor flash burn. First aid.</t>
  </si>
  <si>
    <t xml:space="preserve">Toolbox talk on visor discipline — no exceptions rule</t>
  </si>
  <si>
    <t xml:space="preserve">10.04.2025</t>
  </si>
  <si>
    <t xml:space="preserve">ACC-2025-007</t>
  </si>
  <si>
    <t xml:space="preserve">15:10</t>
  </si>
  <si>
    <t xml:space="preserve">Racking Aisle 3</t>
  </si>
  <si>
    <t xml:space="preserve">Egger, Claudia</t>
  </si>
  <si>
    <t xml:space="preserve">Picker</t>
  </si>
  <si>
    <t xml:space="preserve">Struck by falling object</t>
  </si>
  <si>
    <t xml:space="preserve">Order picking</t>
  </si>
  <si>
    <t xml:space="preserve">Unstable pallet on top rack — shifted during picking</t>
  </si>
  <si>
    <t xml:space="preserve">Overloaded rack bay</t>
  </si>
  <si>
    <t xml:space="preserve">No rack inspection process</t>
  </si>
  <si>
    <t xml:space="preserve">Pallet shifted on top rack during picking below. No injury. Near miss.</t>
  </si>
  <si>
    <t xml:space="preserve">Rack inspection programme + load limits marked on bays</t>
  </si>
  <si>
    <t xml:space="preserve">30.04.2025</t>
  </si>
  <si>
    <t xml:space="preserve">ACC-2025-008</t>
  </si>
  <si>
    <t xml:space="preserve">09:40</t>
  </si>
  <si>
    <t xml:space="preserve">CNC Workshop</t>
  </si>
  <si>
    <t xml:space="preserve">Huber, Thomas</t>
  </si>
  <si>
    <t xml:space="preserve">Contractor — Electrician</t>
  </si>
  <si>
    <t xml:space="preserve">Contact with sharp edge</t>
  </si>
  <si>
    <t xml:space="preserve">Panel installation</t>
  </si>
  <si>
    <t xml:space="preserve">Cut on sheet metal edge during cable routing</t>
  </si>
  <si>
    <t xml:space="preserve">No gloves worn — contractor</t>
  </si>
  <si>
    <t xml:space="preserve">Contractor induction incomplete</t>
  </si>
  <si>
    <t xml:space="preserve">Contractor cut hand on sheet metal edge. Sutures required. Not inducted on PPE rules.</t>
  </si>
  <si>
    <t xml:space="preserve">Mandatory PPE check at site induction — signed off</t>
  </si>
  <si>
    <t xml:space="preserve">10.05.2025</t>
  </si>
  <si>
    <t xml:space="preserve">ACC-2025-009</t>
  </si>
  <si>
    <t xml:space="preserve">02:20</t>
  </si>
  <si>
    <t xml:space="preserve">Night</t>
  </si>
  <si>
    <t xml:space="preserve">Assembly Hall B</t>
  </si>
  <si>
    <t xml:space="preserve">Maurer, Nicole</t>
  </si>
  <si>
    <t xml:space="preserve">Assembly Technician</t>
  </si>
  <si>
    <t xml:space="preserve">Machine maintenance</t>
  </si>
  <si>
    <t xml:space="preserve">Machine restarted while guard removed during maintenance</t>
  </si>
  <si>
    <t xml:space="preserve">No lock on isolator — tag only</t>
  </si>
  <si>
    <t xml:space="preserve">LOTO standard not enforced</t>
  </si>
  <si>
    <t xml:space="preserve">Machine restarted by colleague while maintenance in progress. Guard removed. No injury.</t>
  </si>
  <si>
    <t xml:space="preserve">Personal lock requirement for all maintenance — hasp installed</t>
  </si>
  <si>
    <t xml:space="preserve">26.05.2025</t>
  </si>
  <si>
    <t xml:space="preserve">Night shift — fatigue factor noted</t>
  </si>
  <si>
    <t xml:space="preserve">ACC-2025-010</t>
  </si>
  <si>
    <t xml:space="preserve">08:05</t>
  </si>
  <si>
    <t xml:space="preserve">Office</t>
  </si>
  <si>
    <t xml:space="preserve">Stairwell B</t>
  </si>
  <si>
    <t xml:space="preserve">Brunner, Andreas</t>
  </si>
  <si>
    <t xml:space="preserve">Administrator</t>
  </si>
  <si>
    <t xml:space="preserve">Slip/Trip/Fall — stairs</t>
  </si>
  <si>
    <t xml:space="preserve">Wrist/Arm</t>
  </si>
  <si>
    <t xml:space="preserve">Sprain</t>
  </si>
  <si>
    <t xml:space="preserve">Normal movement</t>
  </si>
  <si>
    <t xml:space="preserve">Missed bottom step — no anti-slip nosing</t>
  </si>
  <si>
    <t xml:space="preserve">Worn stair nosing</t>
  </si>
  <si>
    <t xml:space="preserve">Facility inspection gap</t>
  </si>
  <si>
    <t xml:space="preserve">Slipped on worn stair nosing. Wrist sprain. First aid.</t>
  </si>
  <si>
    <t xml:space="preserve">Replace all stair nosing — facility walk programmed</t>
  </si>
  <si>
    <t xml:space="preserve">15.06.2025</t>
  </si>
  <si>
    <t xml:space="preserve">LISTES DE CHOIX — Modifiez ici pour mettre à jour la saisie des données</t>
  </si>
  <si>
    <t xml:space="preserve">Presque-accident</t>
  </si>
  <si>
    <t xml:space="preserve">Matin</t>
  </si>
  <si>
    <t xml:space="preserve">Heurté par — objet en mouvement</t>
  </si>
  <si>
    <t xml:space="preserve">Tête</t>
  </si>
  <si>
    <t xml:space="preserve">Procédure non respectée</t>
  </si>
  <si>
    <t xml:space="preserve">Absence de mesure</t>
  </si>
  <si>
    <t xml:space="preserve">O</t>
  </si>
  <si>
    <t xml:space="preserve">Assemblage</t>
  </si>
  <si>
    <t xml:space="preserve">Premiers secours</t>
  </si>
  <si>
    <t xml:space="preserve">Après-midi</t>
  </si>
  <si>
    <t xml:space="preserve">Heurté par — objet tombant</t>
  </si>
  <si>
    <t xml:space="preserve">Visage/Tête</t>
  </si>
  <si>
    <t xml:space="preserve">Lacération</t>
  </si>
  <si>
    <t xml:space="preserve">Absence de procédure</t>
  </si>
  <si>
    <t xml:space="preserve">Mesure contournée</t>
  </si>
  <si>
    <t xml:space="preserve">Non-routine</t>
  </si>
  <si>
    <t xml:space="preserve">CNC / usinage</t>
  </si>
  <si>
    <t xml:space="preserve">Traitement médical</t>
  </si>
  <si>
    <t xml:space="preserve">Nuit</t>
  </si>
  <si>
    <t xml:space="preserve">Heurté par — projectile</t>
  </si>
  <si>
    <t xml:space="preserve">Œil(s)</t>
  </si>
  <si>
    <t xml:space="preserve">Abrasion</t>
  </si>
  <si>
    <t xml:space="preserve">Procédure inadéquate</t>
  </si>
  <si>
    <t xml:space="preserve">Mesure insuffisante</t>
  </si>
  <si>
    <t xml:space="preserve">S/O</t>
  </si>
  <si>
    <t xml:space="preserve">En cours</t>
  </si>
  <si>
    <t xml:space="preserve">Soudage / découpe</t>
  </si>
  <si>
    <t xml:space="preserve">Entrepôt / Logistique</t>
  </si>
  <si>
    <t xml:space="preserve">Arrêt de travail</t>
  </si>
  <si>
    <t xml:space="preserve">Journée (sans équipe)</t>
  </si>
  <si>
    <t xml:space="preserve">Contact avec arête vive</t>
  </si>
  <si>
    <t xml:space="preserve">Cou</t>
  </si>
  <si>
    <t xml:space="preserve">Contusion</t>
  </si>
  <si>
    <t xml:space="preserve">Formation non dispensée</t>
  </si>
  <si>
    <t xml:space="preserve">Inconnu</t>
  </si>
  <si>
    <t xml:space="preserve">Urgence</t>
  </si>
  <si>
    <t xml:space="preserve">Peinture / revêtement</t>
  </si>
  <si>
    <t xml:space="preserve">Qualité</t>
  </si>
  <si>
    <t xml:space="preserve">Décès</t>
  </si>
  <si>
    <t xml:space="preserve">Contact avec surface chaude</t>
  </si>
  <si>
    <t xml:space="preserve">Épaule</t>
  </si>
  <si>
    <t xml:space="preserve">Formation insuffisante</t>
  </si>
  <si>
    <t xml:space="preserve">Mise en service</t>
  </si>
  <si>
    <t xml:space="preserve">Manipulation produits chimiques</t>
  </si>
  <si>
    <t xml:space="preserve">Ingénierie</t>
  </si>
  <si>
    <t xml:space="preserve">Happé / écrasé</t>
  </si>
  <si>
    <t xml:space="preserve">Bras</t>
  </si>
  <si>
    <t xml:space="preserve">Entorse/Élongation</t>
  </si>
  <si>
    <t xml:space="preserve">Surveillance insuffisante</t>
  </si>
  <si>
    <t xml:space="preserve">Travaux électriques</t>
  </si>
  <si>
    <t xml:space="preserve">Bureau / Administratif</t>
  </si>
  <si>
    <t xml:space="preserve">Glissade/Trébuchement — même niveau</t>
  </si>
  <si>
    <t xml:space="preserve">Coude</t>
  </si>
  <si>
    <t xml:space="preserve">Luxation</t>
  </si>
  <si>
    <t xml:space="preserve">Maintenance non effectuée</t>
  </si>
  <si>
    <t xml:space="preserve">Manutention</t>
  </si>
  <si>
    <t xml:space="preserve">Facilities</t>
  </si>
  <si>
    <t xml:space="preserve">Chute de hauteur</t>
  </si>
  <si>
    <t xml:space="preserve">Avant-bras</t>
  </si>
  <si>
    <t xml:space="preserve">Brûlure thermique</t>
  </si>
  <si>
    <t xml:space="preserve">Défaillance / défaut équipement</t>
  </si>
  <si>
    <t xml:space="preserve">Conduite chariot / véhicule</t>
  </si>
  <si>
    <t xml:space="preserve">Entreprise externe</t>
  </si>
  <si>
    <t xml:space="preserve">Surmenage / ergonomie</t>
  </si>
  <si>
    <t xml:space="preserve">Poignet/Bras</t>
  </si>
  <si>
    <t xml:space="preserve">Brûlure chimique</t>
  </si>
  <si>
    <t xml:space="preserve">Protection absente ou insuffisante</t>
  </si>
  <si>
    <t xml:space="preserve">Travail en hauteur</t>
  </si>
  <si>
    <t xml:space="preserve">Exposition à une substance</t>
  </si>
  <si>
    <t xml:space="preserve">Main/Doigts</t>
  </si>
  <si>
    <t xml:space="preserve">Brûlure par arc/éclat</t>
  </si>
  <si>
    <t xml:space="preserve">Consignation non appliquée</t>
  </si>
  <si>
    <t xml:space="preserve">Espace confiné</t>
  </si>
  <si>
    <t xml:space="preserve">Exposition énergie / défaut consignation</t>
  </si>
  <si>
    <t xml:space="preserve">Pouce</t>
  </si>
  <si>
    <t xml:space="preserve">Projection chimique</t>
  </si>
  <si>
    <t xml:space="preserve">EPI non disponible</t>
  </si>
  <si>
    <t xml:space="preserve">Consignation / maintenance</t>
  </si>
  <si>
    <t xml:space="preserve">Accident de la route</t>
  </si>
  <si>
    <t xml:space="preserve">Thorax/Torse</t>
  </si>
  <si>
    <t xml:space="preserve">Écrasement</t>
  </si>
  <si>
    <t xml:space="preserve">EPI non porté</t>
  </si>
  <si>
    <t xml:space="preserve">Chargement / déchargement</t>
  </si>
  <si>
    <t xml:space="preserve">Animal / biologique</t>
  </si>
  <si>
    <t xml:space="preserve">Dos — haut</t>
  </si>
  <si>
    <t xml:space="preserve">Amputation</t>
  </si>
  <si>
    <t xml:space="preserve">Problème conception / ergonomie</t>
  </si>
  <si>
    <t xml:space="preserve">Bureau / administratif</t>
  </si>
  <si>
    <t xml:space="preserve">Violence / agression</t>
  </si>
  <si>
    <t xml:space="preserve">Dos — bas</t>
  </si>
  <si>
    <t xml:space="preserve">Plaie perforante</t>
  </si>
  <si>
    <t xml:space="preserve">Pression temporelle</t>
  </si>
  <si>
    <t xml:space="preserve">Nettoyage / entretien</t>
  </si>
  <si>
    <t xml:space="preserve">Autre</t>
  </si>
  <si>
    <t xml:space="preserve">Hanche</t>
  </si>
  <si>
    <t xml:space="preserve">Corps étranger</t>
  </si>
  <si>
    <t xml:space="preserve">Pratique habituelle / culture</t>
  </si>
  <si>
    <t xml:space="preserve">Génie civil / construction</t>
  </si>
  <si>
    <t xml:space="preserve">Cuisse</t>
  </si>
  <si>
    <t xml:space="preserve">Perte auditive</t>
  </si>
  <si>
    <t xml:space="preserve">Lacune d'inspection</t>
  </si>
  <si>
    <t xml:space="preserve">Genou</t>
  </si>
  <si>
    <t xml:space="preserve">Respiratoire</t>
  </si>
  <si>
    <t xml:space="preserve">Lacune gestion entreprises ext.</t>
  </si>
  <si>
    <t xml:space="preserve">Jambe</t>
  </si>
  <si>
    <t xml:space="preserve">Nouveau travailleur / tâche inconnue</t>
  </si>
  <si>
    <t xml:space="preserve">Cheville/Pied</t>
  </si>
  <si>
    <t xml:space="preserve">Orteils</t>
  </si>
  <si>
    <t xml:space="preserve">Multiple</t>
  </si>
  <si>
    <t xml:space="preserve">Aucune (presque-accident)</t>
  </si>
  <si>
    <t xml:space="preserve">INDICATEURS — Fréquence &amp; Gravité des accidents</t>
  </si>
  <si>
    <t xml:space="preserve">Heures travaillées (à saisir)</t>
  </si>
  <si>
    <t xml:space="preserve">← Mettre à jour chaque année</t>
  </si>
  <si>
    <t xml:space="preserve">Année de référence</t>
  </si>
  <si>
    <t xml:space="preserve">Indicateur</t>
  </si>
  <si>
    <t xml:space="preserve">Formule</t>
  </si>
  <si>
    <t xml:space="preserve">Valeur</t>
  </si>
  <si>
    <t xml:space="preserve">Référence (SUVA)</t>
  </si>
  <si>
    <t xml:space="preserve">Total événements (tous niveaux)</t>
  </si>
  <si>
    <t xml:space="preserve">COUNTIF severity col ≠ blank</t>
  </si>
  <si>
    <t xml:space="preserve">—</t>
  </si>
  <si>
    <t xml:space="preserve">Presque-accidents</t>
  </si>
  <si>
    <t xml:space="preserve">COUNTIF Severity = 'Near Miss'</t>
  </si>
  <si>
    <t xml:space="preserve">Cas premiers secours</t>
  </si>
  <si>
    <t xml:space="preserve">COUNTIF Severity = 'First Aid'</t>
  </si>
  <si>
    <t xml:space="preserve">Cas traitement médical</t>
  </si>
  <si>
    <t xml:space="preserve">COUNTIF Severity = 'Medical Treatment'</t>
  </si>
  <si>
    <t xml:space="preserve">Accidents avec arrêt (AT)</t>
  </si>
  <si>
    <t xml:space="preserve">COUNTIF Severity = 'Lost Time'</t>
  </si>
  <si>
    <t xml:space="preserve">COUNTIF Severity = 'Fatality'</t>
  </si>
  <si>
    <t xml:space="preserve">0</t>
  </si>
  <si>
    <t xml:space="preserve">Total jours perdus</t>
  </si>
  <si>
    <t xml:space="preserve">SUM Days Lost column</t>
  </si>
  <si>
    <t xml:space="preserve">Taux de fréquence AT (TFAT)</t>
  </si>
  <si>
    <t xml:space="preserve">(LTI × 1,000,000) ÷ Hours</t>
  </si>
  <si>
    <t xml:space="preserve">Industry avg ~8–15 (manufacturing)</t>
  </si>
  <si>
    <t xml:space="preserve">Taux de gravité</t>
  </si>
  <si>
    <t xml:space="preserve">(Days Lost × 1,000,000) ÷ Hours</t>
  </si>
  <si>
    <t xml:space="preserve">Ratio presque-accident : blessure</t>
  </si>
  <si>
    <t xml:space="preserve">Near Miss ÷ (FA+MT+LTI+Fatal)</t>
  </si>
  <si>
    <t xml:space="preserve">Target ≥ 3:1</t>
  </si>
  <si>
    <t xml:space="preserve">Taux non-port EPI</t>
  </si>
  <si>
    <t xml:space="preserve">PPE required but not worn ÷ PPE required</t>
  </si>
  <si>
    <t xml:space="preserve">Target &lt; 5%</t>
  </si>
  <si>
    <t xml:space="preserve">Part accidents entreprises ext.</t>
  </si>
  <si>
    <t xml:space="preserve">Contractor events ÷ Total events</t>
  </si>
  <si>
    <t xml:space="preserve">Monitor</t>
  </si>
  <si>
    <t xml:space="preserve">Part accidents nouveaux travailleurs (&lt;6 mois)</t>
  </si>
  <si>
    <t xml:space="preserve">Events where Time in Role ≤ 6 mo</t>
  </si>
  <si>
    <t xml:space="preserve">TABLEAU DE BORD — Les graphiques se mettent à jour automatiquement depuis la saisie</t>
  </si>
  <si>
    <t xml:space="preserve">Month</t>
  </si>
  <si>
    <t xml:space="preserve">Count</t>
  </si>
  <si>
    <t xml:space="preserve">Department</t>
  </si>
  <si>
    <t xml:space="preserve">Astuce : clic droit sur un graphique → Copier → Collage spécial → Image pour PowerPoint</t>
  </si>
  <si>
    <t xml:space="preserve">Jan</t>
  </si>
  <si>
    <t xml:space="preserve">Struck by — moving object</t>
  </si>
  <si>
    <t xml:space="preserve">Procedure not followed</t>
  </si>
  <si>
    <t xml:space="preserve">Feb</t>
  </si>
  <si>
    <t xml:space="preserve">Struck by — falling object</t>
  </si>
  <si>
    <t xml:space="preserve">No procedure exists</t>
  </si>
  <si>
    <t xml:space="preserve">Mar</t>
  </si>
  <si>
    <t xml:space="preserve">Procedure inadequate</t>
  </si>
  <si>
    <t xml:space="preserve">Warehouse / Logistics</t>
  </si>
  <si>
    <t xml:space="preserve">Apr</t>
  </si>
  <si>
    <t xml:space="preserve">Training not provided</t>
  </si>
  <si>
    <t xml:space="preserve">Quality</t>
  </si>
  <si>
    <t xml:space="preserve">May</t>
  </si>
  <si>
    <t xml:space="preserve">Contact with hot surface</t>
  </si>
  <si>
    <t xml:space="preserve">Training inadequate</t>
  </si>
  <si>
    <t xml:space="preserve">Engineering</t>
  </si>
  <si>
    <t xml:space="preserve">Jun</t>
  </si>
  <si>
    <t xml:space="preserve">Caught in / between</t>
  </si>
  <si>
    <t xml:space="preserve">Supervision inadequate</t>
  </si>
  <si>
    <t xml:space="preserve">Office / Admin</t>
  </si>
  <si>
    <t xml:space="preserve">Jul</t>
  </si>
  <si>
    <t xml:space="preserve">Maintenance not performed</t>
  </si>
  <si>
    <t xml:space="preserve">Aug</t>
  </si>
  <si>
    <t xml:space="preserve">Equipment failure / defect</t>
  </si>
  <si>
    <t xml:space="preserve">External Contractor</t>
  </si>
  <si>
    <t xml:space="preserve">Sep</t>
  </si>
  <si>
    <t xml:space="preserve">Overexertion / ergonomic</t>
  </si>
  <si>
    <t xml:space="preserve">Guarding inadequate or absent</t>
  </si>
  <si>
    <t xml:space="preserve">Oct</t>
  </si>
  <si>
    <t xml:space="preserve">LOTO not applied</t>
  </si>
  <si>
    <t xml:space="preserve">Nov</t>
  </si>
  <si>
    <t xml:space="preserve">PPE not worn</t>
  </si>
  <si>
    <t xml:space="preserve">Dec</t>
  </si>
  <si>
    <t xml:space="preserve">Other</t>
  </si>
  <si>
    <t xml:space="preserve">Inspection gap</t>
  </si>
  <si>
    <t xml:space="preserve">New worker / unfamiliar with task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</si>
</sst>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.mm\.yyyy"/>
    <numFmt numFmtId="166" formatCode="#,##0"/>
    <numFmt numFmtId="167" formatCode="0.00"/>
    <numFmt numFmtId="168" formatCode="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2D2D2D"/>
      <name val="Arial"/>
      <family val="0"/>
      <charset val="1"/>
    </font>
    <font>
      <sz val="10"/>
      <color rgb="FF2D2D2D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9"/>
      <color rgb="FF1F497D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E8670A"/>
        <bgColor rgb="FFC0504D"/>
      </patternFill>
    </fill>
    <fill>
      <patternFill patternType="solid">
        <fgColor rgb="FFFAD7BC"/>
        <bgColor rgb="FFF4CCCC"/>
      </patternFill>
    </fill>
    <fill>
      <patternFill patternType="solid">
        <fgColor rgb="FF4A4A4A"/>
        <bgColor rgb="FF595959"/>
      </patternFill>
    </fill>
    <fill>
      <patternFill patternType="solid">
        <fgColor rgb="FFF2F2F2"/>
        <bgColor rgb="FFF9F9F9"/>
      </patternFill>
    </fill>
    <fill>
      <patternFill patternType="solid">
        <fgColor rgb="FFFFF8F0"/>
        <bgColor rgb="FFF9F9F9"/>
      </patternFill>
    </fill>
    <fill>
      <patternFill patternType="solid">
        <fgColor rgb="FFFFFFFF"/>
        <bgColor rgb="FFF9F9F9"/>
      </patternFill>
    </fill>
    <fill>
      <patternFill patternType="solid">
        <fgColor rgb="FFF4CCCC"/>
        <bgColor rgb="FFFAD7BC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center" textRotation="0" wrapText="true" indent="1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1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8" fillId="5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D7A2D"/>
      <rgbColor rgb="FF000080"/>
      <rgbColor rgb="FF808000"/>
      <rgbColor rgb="FF800080"/>
      <rgbColor rgb="FF008080"/>
      <rgbColor rgb="FFCCCCCC"/>
      <rgbColor rgb="FF878787"/>
      <rgbColor rgb="FF9999FF"/>
      <rgbColor rgb="FFC0504D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E2EFDA"/>
      <rgbColor rgb="FFFCE4D6"/>
      <rgbColor rgb="FFFFF8F0"/>
      <rgbColor rgb="FFF4CCCC"/>
      <rgbColor rgb="FFCC99FF"/>
      <rgbColor rgb="FFFAD7BC"/>
      <rgbColor rgb="FF4F81BD"/>
      <rgbColor rgb="FF33CCCC"/>
      <rgbColor rgb="FF9BBB59"/>
      <rgbColor rgb="FFFFCC00"/>
      <rgbColor rgb="FFFF9900"/>
      <rgbColor rgb="FFE8670A"/>
      <rgbColor rgb="FF8064A2"/>
      <rgbColor rgb="FF969696"/>
      <rgbColor rgb="FF003366"/>
      <rgbColor rgb="FF339966"/>
      <rgbColor rgb="FF003300"/>
      <rgbColor rgb="FF4A4A4A"/>
      <rgbColor rgb="FF993300"/>
      <rgbColor rgb="FF595959"/>
      <rgbColor rgb="FF1F497D"/>
      <rgbColor rgb="FF2D2D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Incidents by Month &amp; Severity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Near Miss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categories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First Aid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categories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label 2</c:f>
              <c:strCache>
                <c:ptCount val="1"/>
                <c:pt idx="0">
                  <c:v>Medical Treatment</c:v>
                </c:pt>
              </c:strCache>
            </c:strRef>
          </c:tx>
          <c:spPr>
            <a:solidFill>
              <a:srgbClr val="9bbb59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categories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2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label 3</c:f>
              <c:strCache>
                <c:ptCount val="1"/>
                <c:pt idx="0">
                  <c:v>Lost Time</c:v>
                </c:pt>
              </c:strCache>
            </c:strRef>
          </c:tx>
          <c:spPr>
            <a:solidFill>
              <a:srgbClr val="8064a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categories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100"/>
        <c:axId val="52063110"/>
        <c:axId val="70363636"/>
      </c:barChart>
      <c:catAx>
        <c:axId val="5206311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363636"/>
        <c:crosses val="autoZero"/>
        <c:auto val="1"/>
        <c:lblAlgn val="ctr"/>
        <c:lblOffset val="100"/>
        <c:noMultiLvlLbl val="0"/>
      </c:catAx>
      <c:valAx>
        <c:axId val="703636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06311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Events by Type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categories</c:f>
              <c:strCache>
                <c:ptCount val="12"/>
                <c:pt idx="0">
                  <c:v>Struck by — moving object</c:v>
                </c:pt>
                <c:pt idx="1">
                  <c:v>Struck by — falling object</c:v>
                </c:pt>
                <c:pt idx="2">
                  <c:v>Struck by — projectile</c:v>
                </c:pt>
                <c:pt idx="3">
                  <c:v>Contact with sharp edge</c:v>
                </c:pt>
                <c:pt idx="4">
                  <c:v>Contact with hot surface</c:v>
                </c:pt>
                <c:pt idx="5">
                  <c:v>Caught in / between</c:v>
                </c:pt>
                <c:pt idx="6">
                  <c:v>Slip/Trip/Fall — same level</c:v>
                </c:pt>
                <c:pt idx="7">
                  <c:v>Fall from height</c:v>
                </c:pt>
                <c:pt idx="8">
                  <c:v>Overexertion / ergonomic</c:v>
                </c:pt>
                <c:pt idx="9">
                  <c:v>Exposure to substance</c:v>
                </c:pt>
                <c:pt idx="10">
                  <c:v>Exposure to energy / LOTO failure</c:v>
                </c:pt>
                <c:pt idx="11">
                  <c:v>Other</c:v>
                </c:pt>
              </c:strCache>
            </c:strRef>
          </c:cat>
          <c:val>
            <c:numRef>
              <c:f>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82282939"/>
        <c:axId val="76780964"/>
      </c:barChart>
      <c:catAx>
        <c:axId val="82282939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780964"/>
        <c:crosses val="autoZero"/>
        <c:auto val="1"/>
        <c:lblAlgn val="ctr"/>
        <c:lblOffset val="100"/>
        <c:noMultiLvlLbl val="0"/>
      </c:catAx>
      <c:valAx>
        <c:axId val="767809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28293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Events by Root Cause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categories</c:f>
              <c:strCache>
                <c:ptCount val="14"/>
                <c:pt idx="0">
                  <c:v>Procedure not followed</c:v>
                </c:pt>
                <c:pt idx="1">
                  <c:v>No procedure exists</c:v>
                </c:pt>
                <c:pt idx="2">
                  <c:v>Procedure inadequate</c:v>
                </c:pt>
                <c:pt idx="3">
                  <c:v>Training not provided</c:v>
                </c:pt>
                <c:pt idx="4">
                  <c:v>Training inadequate</c:v>
                </c:pt>
                <c:pt idx="5">
                  <c:v>Supervision inadequate</c:v>
                </c:pt>
                <c:pt idx="6">
                  <c:v>Maintenance not performed</c:v>
                </c:pt>
                <c:pt idx="7">
                  <c:v>Equipment failure / defect</c:v>
                </c:pt>
                <c:pt idx="8">
                  <c:v>Guarding inadequate or absent</c:v>
                </c:pt>
                <c:pt idx="9">
                  <c:v>LOTO not applied</c:v>
                </c:pt>
                <c:pt idx="10">
                  <c:v>PPE not worn</c:v>
                </c:pt>
                <c:pt idx="11">
                  <c:v>Inspection gap</c:v>
                </c:pt>
                <c:pt idx="12">
                  <c:v>New worker / unfamiliar with task</c:v>
                </c:pt>
                <c:pt idx="13">
                  <c:v>Other</c:v>
                </c:pt>
              </c:strCache>
            </c:strRef>
          </c:cat>
          <c:val>
            <c:numRef>
              <c:f>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</c:ser>
        <c:gapWidth val="150"/>
        <c:overlap val="0"/>
        <c:axId val="75863540"/>
        <c:axId val="17687464"/>
      </c:barChart>
      <c:catAx>
        <c:axId val="758635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687464"/>
        <c:crosses val="autoZero"/>
        <c:auto val="1"/>
        <c:lblAlgn val="ctr"/>
        <c:lblOffset val="100"/>
        <c:noMultiLvlLbl val="0"/>
      </c:catAx>
      <c:valAx>
        <c:axId val="176874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86354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Events by Department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categories</c:f>
              <c:strCache>
                <c:ptCount val="8"/>
                <c:pt idx="0">
                  <c:v>Production</c:v>
                </c:pt>
                <c:pt idx="1">
                  <c:v>Maintenance</c:v>
                </c:pt>
                <c:pt idx="2">
                  <c:v>Warehouse / Logistics</c:v>
                </c:pt>
                <c:pt idx="3">
                  <c:v>Quality</c:v>
                </c:pt>
                <c:pt idx="4">
                  <c:v>Engineering</c:v>
                </c:pt>
                <c:pt idx="5">
                  <c:v>Office / Admin</c:v>
                </c:pt>
                <c:pt idx="6">
                  <c:v>Facilities</c:v>
                </c:pt>
                <c:pt idx="7">
                  <c:v>External Contractor</c:v>
                </c:pt>
              </c:strCache>
            </c:strRef>
          </c:cat>
          <c:val>
            <c:numRef>
              <c:f>0</c:f>
              <c:numCache>
                <c:formatCode>General</c:formatCode>
                <c:ptCount val="8"/>
                <c:pt idx="0">
                  <c:v>4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gapWidth val="150"/>
        <c:overlap val="0"/>
        <c:axId val="34126570"/>
        <c:axId val="44334548"/>
      </c:barChart>
      <c:catAx>
        <c:axId val="341265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334548"/>
        <c:crosses val="autoZero"/>
        <c:auto val="1"/>
        <c:lblAlgn val="ctr"/>
        <c:lblOffset val="100"/>
        <c:noMultiLvlLbl val="0"/>
      </c:catAx>
      <c:valAx>
        <c:axId val="443345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12657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</xdr:row>
      <xdr:rowOff>0</xdr:rowOff>
    </xdr:from>
    <xdr:to>
      <xdr:col>11</xdr:col>
      <xdr:colOff>363240</xdr:colOff>
      <xdr:row>23</xdr:row>
      <xdr:rowOff>147960</xdr:rowOff>
    </xdr:to>
    <xdr:graphicFrame>
      <xdr:nvGraphicFramePr>
        <xdr:cNvPr id="0" name="Chart 1"/>
        <xdr:cNvGraphicFramePr/>
      </xdr:nvGraphicFramePr>
      <xdr:xfrm>
        <a:off x="141120" y="733320"/>
        <a:ext cx="6478200" cy="395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3</xdr:row>
      <xdr:rowOff>0</xdr:rowOff>
    </xdr:from>
    <xdr:to>
      <xdr:col>20</xdr:col>
      <xdr:colOff>254880</xdr:colOff>
      <xdr:row>23</xdr:row>
      <xdr:rowOff>147960</xdr:rowOff>
    </xdr:to>
    <xdr:graphicFrame>
      <xdr:nvGraphicFramePr>
        <xdr:cNvPr id="1" name="Chart 2"/>
        <xdr:cNvGraphicFramePr/>
      </xdr:nvGraphicFramePr>
      <xdr:xfrm>
        <a:off x="6256080" y="733320"/>
        <a:ext cx="5758200" cy="395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22</xdr:row>
      <xdr:rowOff>0</xdr:rowOff>
    </xdr:from>
    <xdr:to>
      <xdr:col>11</xdr:col>
      <xdr:colOff>363240</xdr:colOff>
      <xdr:row>44</xdr:row>
      <xdr:rowOff>127080</xdr:rowOff>
    </xdr:to>
    <xdr:graphicFrame>
      <xdr:nvGraphicFramePr>
        <xdr:cNvPr id="2" name="Chart 3"/>
        <xdr:cNvGraphicFramePr/>
      </xdr:nvGraphicFramePr>
      <xdr:xfrm>
        <a:off x="141120" y="4352760"/>
        <a:ext cx="6478200" cy="431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0</xdr:colOff>
      <xdr:row>22</xdr:row>
      <xdr:rowOff>0</xdr:rowOff>
    </xdr:from>
    <xdr:to>
      <xdr:col>19</xdr:col>
      <xdr:colOff>146160</xdr:colOff>
      <xdr:row>42</xdr:row>
      <xdr:rowOff>147960</xdr:rowOff>
    </xdr:to>
    <xdr:graphicFrame>
      <xdr:nvGraphicFramePr>
        <xdr:cNvPr id="3" name="Chart 4"/>
        <xdr:cNvGraphicFramePr/>
      </xdr:nvGraphicFramePr>
      <xdr:xfrm>
        <a:off x="6256080" y="4352760"/>
        <a:ext cx="5038200" cy="395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4A4A"/>
    <pageSetUpPr fitToPage="false"/>
  </sheetPr>
  <dimension ref="B1:D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3" min="3" style="1" width="60"/>
    <col collapsed="false" customWidth="true" hidden="false" outlineLevel="0" max="4" min="4" style="1" width="20"/>
  </cols>
  <sheetData>
    <row r="1" customFormat="false" ht="30" hidden="false" customHeight="true" outlineLevel="0" collapsed="false">
      <c r="B1" s="2" t="s">
        <v>0</v>
      </c>
      <c r="C1" s="2"/>
      <c r="D1" s="2"/>
    </row>
    <row r="2" customFormat="false" ht="18" hidden="false" customHeight="true" outlineLevel="0" collapsed="false">
      <c r="B2" s="3" t="s">
        <v>1</v>
      </c>
      <c r="C2" s="3"/>
      <c r="D2" s="3"/>
    </row>
    <row r="4" customFormat="false" ht="18" hidden="false" customHeight="true" outlineLevel="0" collapsed="false"/>
    <row r="5" customFormat="false" ht="21.75" hidden="false" customHeight="true" outlineLevel="0" collapsed="false">
      <c r="B5" s="4" t="s">
        <v>2</v>
      </c>
      <c r="C5" s="4"/>
      <c r="D5" s="4"/>
    </row>
    <row r="6" customFormat="false" ht="18" hidden="false" customHeight="true" outlineLevel="0" collapsed="false">
      <c r="B6" s="5" t="s">
        <v>3</v>
      </c>
      <c r="C6" s="6" t="s">
        <v>4</v>
      </c>
    </row>
    <row r="7" customFormat="false" ht="18" hidden="false" customHeight="true" outlineLevel="0" collapsed="false">
      <c r="B7" s="5" t="s">
        <v>5</v>
      </c>
      <c r="C7" s="6" t="s">
        <v>6</v>
      </c>
    </row>
    <row r="8" customFormat="false" ht="18" hidden="false" customHeight="true" outlineLevel="0" collapsed="false">
      <c r="B8" s="5" t="s">
        <v>7</v>
      </c>
      <c r="C8" s="6" t="s">
        <v>8</v>
      </c>
    </row>
    <row r="9" customFormat="false" ht="18" hidden="false" customHeight="true" outlineLevel="0" collapsed="false">
      <c r="B9" s="5" t="s">
        <v>9</v>
      </c>
      <c r="C9" s="6" t="s">
        <v>10</v>
      </c>
    </row>
    <row r="10" customFormat="false" ht="18" hidden="false" customHeight="true" outlineLevel="0" collapsed="false"/>
    <row r="11" customFormat="false" ht="21.75" hidden="false" customHeight="true" outlineLevel="0" collapsed="false">
      <c r="B11" s="4" t="s">
        <v>11</v>
      </c>
      <c r="C11" s="4"/>
      <c r="D11" s="4"/>
    </row>
    <row r="12" customFormat="false" ht="18" hidden="false" customHeight="true" outlineLevel="0" collapsed="false">
      <c r="B12" s="5" t="s">
        <v>12</v>
      </c>
      <c r="C12" s="6" t="s">
        <v>13</v>
      </c>
    </row>
    <row r="13" customFormat="false" ht="18" hidden="false" customHeight="true" outlineLevel="0" collapsed="false">
      <c r="B13" s="5" t="s">
        <v>14</v>
      </c>
      <c r="C13" s="6" t="s">
        <v>15</v>
      </c>
    </row>
    <row r="14" customFormat="false" ht="18" hidden="false" customHeight="true" outlineLevel="0" collapsed="false">
      <c r="B14" s="5" t="s">
        <v>16</v>
      </c>
      <c r="C14" s="6" t="s">
        <v>17</v>
      </c>
    </row>
    <row r="15" customFormat="false" ht="18" hidden="false" customHeight="true" outlineLevel="0" collapsed="false">
      <c r="B15" s="5" t="s">
        <v>18</v>
      </c>
      <c r="C15" s="6" t="s">
        <v>19</v>
      </c>
    </row>
    <row r="16" customFormat="false" ht="18" hidden="false" customHeight="true" outlineLevel="0" collapsed="false">
      <c r="B16" s="5" t="s">
        <v>20</v>
      </c>
      <c r="C16" s="6" t="s">
        <v>21</v>
      </c>
    </row>
    <row r="17" customFormat="false" ht="18" hidden="false" customHeight="true" outlineLevel="0" collapsed="false">
      <c r="B17" s="5" t="s">
        <v>22</v>
      </c>
      <c r="C17" s="6" t="s">
        <v>23</v>
      </c>
    </row>
    <row r="18" customFormat="false" ht="18" hidden="false" customHeight="true" outlineLevel="0" collapsed="false">
      <c r="B18" s="5" t="s">
        <v>24</v>
      </c>
      <c r="C18" s="6" t="s">
        <v>25</v>
      </c>
    </row>
    <row r="19" customFormat="false" ht="18" hidden="false" customHeight="true" outlineLevel="0" collapsed="false">
      <c r="B19" s="5" t="s">
        <v>26</v>
      </c>
      <c r="C19" s="6" t="s">
        <v>27</v>
      </c>
    </row>
    <row r="20" customFormat="false" ht="18" hidden="false" customHeight="true" outlineLevel="0" collapsed="false">
      <c r="B20" s="5" t="s">
        <v>28</v>
      </c>
      <c r="C20" s="6" t="s">
        <v>29</v>
      </c>
    </row>
    <row r="21" customFormat="false" ht="18" hidden="false" customHeight="true" outlineLevel="0" collapsed="false"/>
    <row r="22" customFormat="false" ht="21.75" hidden="false" customHeight="true" outlineLevel="0" collapsed="false">
      <c r="B22" s="4" t="s">
        <v>30</v>
      </c>
      <c r="C22" s="4"/>
      <c r="D22" s="4"/>
    </row>
    <row r="23" customFormat="false" ht="18" hidden="false" customHeight="true" outlineLevel="0" collapsed="false">
      <c r="B23" s="5" t="s">
        <v>31</v>
      </c>
      <c r="C23" s="6" t="s">
        <v>32</v>
      </c>
    </row>
    <row r="24" customFormat="false" ht="18" hidden="false" customHeight="true" outlineLevel="0" collapsed="false">
      <c r="B24" s="5" t="s">
        <v>33</v>
      </c>
      <c r="C24" s="6" t="s">
        <v>34</v>
      </c>
    </row>
    <row r="25" customFormat="false" ht="18" hidden="false" customHeight="true" outlineLevel="0" collapsed="false">
      <c r="B25" s="5" t="s">
        <v>35</v>
      </c>
      <c r="C25" s="6" t="s">
        <v>36</v>
      </c>
    </row>
    <row r="26" customFormat="false" ht="18" hidden="false" customHeight="true" outlineLevel="0" collapsed="false">
      <c r="B26" s="5" t="s">
        <v>37</v>
      </c>
      <c r="C26" s="6" t="s">
        <v>38</v>
      </c>
    </row>
    <row r="27" customFormat="false" ht="18" hidden="false" customHeight="true" outlineLevel="0" collapsed="false">
      <c r="B27" s="5" t="s">
        <v>39</v>
      </c>
      <c r="C27" s="6" t="s">
        <v>40</v>
      </c>
    </row>
  </sheetData>
  <mergeCells count="5">
    <mergeCell ref="B1:D1"/>
    <mergeCell ref="B2:D2"/>
    <mergeCell ref="B5:D5"/>
    <mergeCell ref="B11:D11"/>
    <mergeCell ref="B22:D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670A"/>
    <pageSetUpPr fitToPage="false"/>
  </sheetPr>
  <dimension ref="A1:A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6" min="4" style="1" width="8"/>
    <col collapsed="false" customWidth="true" hidden="false" outlineLevel="0" max="7" min="7" style="1" width="13"/>
    <col collapsed="false" customWidth="true" hidden="false" outlineLevel="0" max="8" min="8" style="1" width="12"/>
    <col collapsed="false" customWidth="true" hidden="false" outlineLevel="0" max="9" min="9" style="1" width="10"/>
    <col collapsed="false" customWidth="true" hidden="false" outlineLevel="0" max="10" min="10" style="1" width="18"/>
    <col collapsed="false" customWidth="true" hidden="false" outlineLevel="0" max="11" min="11" style="1" width="14"/>
    <col collapsed="false" customWidth="true" hidden="false" outlineLevel="0" max="12" min="12" style="1" width="10"/>
    <col collapsed="false" customWidth="true" hidden="false" outlineLevel="0" max="14" min="13" style="1" width="18"/>
    <col collapsed="false" customWidth="true" hidden="false" outlineLevel="0" max="15" min="15" style="1" width="20"/>
    <col collapsed="false" customWidth="true" hidden="false" outlineLevel="0" max="16" min="16" style="1" width="12"/>
    <col collapsed="false" customWidth="true" hidden="false" outlineLevel="0" max="17" min="17" style="1" width="18"/>
    <col collapsed="false" customWidth="true" hidden="false" outlineLevel="0" max="19" min="18" style="1" width="16"/>
    <col collapsed="false" customWidth="true" hidden="false" outlineLevel="0" max="20" min="20" style="1" width="22"/>
    <col collapsed="false" customWidth="true" hidden="false" outlineLevel="0" max="22" min="21" style="1" width="18"/>
    <col collapsed="false" customWidth="true" hidden="false" outlineLevel="0" max="23" min="23" style="1" width="14"/>
    <col collapsed="false" customWidth="true" hidden="false" outlineLevel="0" max="24" min="24" style="1" width="12"/>
    <col collapsed="false" customWidth="true" hidden="false" outlineLevel="0" max="25" min="25" style="1" width="22"/>
    <col collapsed="false" customWidth="true" hidden="false" outlineLevel="0" max="27" min="26" style="1" width="30"/>
    <col collapsed="false" customWidth="true" hidden="false" outlineLevel="0" max="28" min="28" style="1" width="25"/>
    <col collapsed="false" customWidth="true" hidden="false" outlineLevel="0" max="29" min="29" style="1" width="20"/>
    <col collapsed="false" customWidth="true" hidden="false" outlineLevel="0" max="30" min="30" style="1" width="45"/>
    <col collapsed="false" customWidth="true" hidden="false" outlineLevel="0" max="31" min="31" style="1" width="16"/>
    <col collapsed="false" customWidth="true" hidden="false" outlineLevel="0" max="32" min="32" style="1" width="35"/>
    <col collapsed="false" customWidth="true" hidden="false" outlineLevel="0" max="33" min="33" style="1" width="13"/>
    <col collapsed="false" customWidth="true" hidden="false" outlineLevel="0" max="34" min="34" style="1" width="12"/>
    <col collapsed="false" customWidth="true" hidden="false" outlineLevel="0" max="35" min="35" style="1" width="35"/>
  </cols>
  <sheetData>
    <row r="1" customFormat="false" ht="27.75" hidden="false" customHeight="true" outlineLevel="0" collapsed="false">
      <c r="A1" s="7" t="s">
        <v>41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</row>
    <row r="2" customFormat="false" ht="15.75" hidden="false" customHeight="true" outlineLevel="0" collapsed="false">
      <c r="A2" s="8" t="s">
        <v>42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</row>
    <row r="3" customFormat="false" ht="30" hidden="false" customHeight="true" outlineLevel="0" collapsed="false">
      <c r="A3" s="9" t="s">
        <v>12</v>
      </c>
      <c r="B3" s="9" t="s">
        <v>43</v>
      </c>
      <c r="C3" s="9" t="s">
        <v>44</v>
      </c>
      <c r="D3" s="9" t="s">
        <v>45</v>
      </c>
      <c r="E3" s="9" t="s">
        <v>46</v>
      </c>
      <c r="F3" s="9" t="s">
        <v>47</v>
      </c>
      <c r="G3" s="9" t="s">
        <v>48</v>
      </c>
      <c r="H3" s="9" t="s">
        <v>49</v>
      </c>
      <c r="I3" s="9" t="s">
        <v>50</v>
      </c>
      <c r="J3" s="9" t="s">
        <v>51</v>
      </c>
      <c r="K3" s="9" t="s">
        <v>52</v>
      </c>
      <c r="L3" s="9" t="s">
        <v>53</v>
      </c>
      <c r="M3" s="9" t="s">
        <v>54</v>
      </c>
      <c r="N3" s="9" t="s">
        <v>55</v>
      </c>
      <c r="O3" s="9" t="s">
        <v>56</v>
      </c>
      <c r="P3" s="9" t="s">
        <v>57</v>
      </c>
      <c r="Q3" s="9" t="s">
        <v>58</v>
      </c>
      <c r="R3" s="9" t="s">
        <v>59</v>
      </c>
      <c r="S3" s="9" t="s">
        <v>60</v>
      </c>
      <c r="T3" s="9" t="s">
        <v>61</v>
      </c>
      <c r="U3" s="9" t="s">
        <v>62</v>
      </c>
      <c r="V3" s="9" t="s">
        <v>63</v>
      </c>
      <c r="W3" s="9" t="s">
        <v>64</v>
      </c>
      <c r="X3" s="9" t="s">
        <v>65</v>
      </c>
      <c r="Y3" s="9" t="s">
        <v>66</v>
      </c>
      <c r="Z3" s="9" t="s">
        <v>67</v>
      </c>
      <c r="AA3" s="9" t="s">
        <v>68</v>
      </c>
      <c r="AB3" s="9" t="s">
        <v>69</v>
      </c>
      <c r="AC3" s="9" t="s">
        <v>70</v>
      </c>
      <c r="AD3" s="9" t="s">
        <v>71</v>
      </c>
      <c r="AE3" s="9" t="s">
        <v>72</v>
      </c>
      <c r="AF3" s="9" t="s">
        <v>73</v>
      </c>
      <c r="AG3" s="9" t="s">
        <v>74</v>
      </c>
      <c r="AH3" s="9" t="s">
        <v>75</v>
      </c>
      <c r="AI3" s="9" t="s">
        <v>76</v>
      </c>
    </row>
    <row r="4" customFormat="false" ht="30" hidden="false" customHeight="true" outlineLevel="0" collapsed="false">
      <c r="A4" s="10" t="s">
        <v>77</v>
      </c>
      <c r="B4" s="10"/>
      <c r="C4" s="11" t="n">
        <v>45672</v>
      </c>
      <c r="D4" s="10" t="n">
        <v>2025</v>
      </c>
      <c r="E4" s="10" t="n">
        <v>1</v>
      </c>
      <c r="F4" s="10" t="n">
        <f aca="false">WEEKNUM(C4,21)</f>
        <v>3</v>
      </c>
      <c r="G4" s="10" t="s">
        <v>78</v>
      </c>
      <c r="H4" s="10" t="s">
        <v>79</v>
      </c>
      <c r="I4" s="10" t="s">
        <v>80</v>
      </c>
      <c r="J4" s="12" t="s">
        <v>81</v>
      </c>
      <c r="K4" s="10" t="s">
        <v>82</v>
      </c>
      <c r="L4" s="10" t="n">
        <v>3</v>
      </c>
      <c r="M4" s="10" t="s">
        <v>83</v>
      </c>
      <c r="N4" s="10" t="s">
        <v>84</v>
      </c>
      <c r="O4" s="10" t="s">
        <v>85</v>
      </c>
      <c r="P4" s="10" t="s">
        <v>86</v>
      </c>
      <c r="Q4" s="10" t="s">
        <v>87</v>
      </c>
      <c r="R4" s="10" t="n">
        <v>8</v>
      </c>
      <c r="S4" s="10" t="s">
        <v>88</v>
      </c>
      <c r="T4" s="10" t="s">
        <v>89</v>
      </c>
      <c r="U4" s="10" t="s">
        <v>90</v>
      </c>
      <c r="V4" s="10" t="s">
        <v>91</v>
      </c>
      <c r="W4" s="10" t="s">
        <v>82</v>
      </c>
      <c r="X4" s="10" t="s">
        <v>86</v>
      </c>
      <c r="Y4" s="10" t="s">
        <v>92</v>
      </c>
      <c r="Z4" s="10" t="s">
        <v>93</v>
      </c>
      <c r="AA4" s="10" t="s">
        <v>94</v>
      </c>
      <c r="AB4" s="10" t="s">
        <v>95</v>
      </c>
      <c r="AC4" s="10" t="s">
        <v>96</v>
      </c>
      <c r="AD4" s="13" t="s">
        <v>97</v>
      </c>
      <c r="AE4" s="10" t="s">
        <v>82</v>
      </c>
      <c r="AF4" s="13" t="s">
        <v>98</v>
      </c>
      <c r="AG4" s="11" t="s">
        <v>99</v>
      </c>
      <c r="AH4" s="10" t="s">
        <v>82</v>
      </c>
      <c r="AI4" s="10"/>
    </row>
    <row r="5" customFormat="false" ht="30" hidden="false" customHeight="true" outlineLevel="0" collapsed="false">
      <c r="A5" s="14" t="s">
        <v>100</v>
      </c>
      <c r="B5" s="14"/>
      <c r="C5" s="15" t="n">
        <v>45691</v>
      </c>
      <c r="D5" s="14" t="n">
        <v>2025</v>
      </c>
      <c r="E5" s="14" t="n">
        <v>2</v>
      </c>
      <c r="F5" s="14" t="n">
        <f aca="false">WEEKNUM(C5,21)</f>
        <v>6</v>
      </c>
      <c r="G5" s="14" t="s">
        <v>101</v>
      </c>
      <c r="H5" s="14" t="s">
        <v>102</v>
      </c>
      <c r="I5" s="14" t="s">
        <v>80</v>
      </c>
      <c r="J5" s="16" t="s">
        <v>103</v>
      </c>
      <c r="K5" s="14" t="s">
        <v>82</v>
      </c>
      <c r="L5" s="14" t="n">
        <v>0</v>
      </c>
      <c r="M5" s="14" t="s">
        <v>104</v>
      </c>
      <c r="N5" s="14" t="s">
        <v>105</v>
      </c>
      <c r="O5" s="14" t="s">
        <v>106</v>
      </c>
      <c r="P5" s="14" t="s">
        <v>86</v>
      </c>
      <c r="Q5" s="14" t="s">
        <v>107</v>
      </c>
      <c r="R5" s="14" t="n">
        <v>24</v>
      </c>
      <c r="S5" s="14" t="s">
        <v>88</v>
      </c>
      <c r="T5" s="14" t="s">
        <v>108</v>
      </c>
      <c r="U5" s="14" t="s">
        <v>109</v>
      </c>
      <c r="V5" s="14" t="s">
        <v>110</v>
      </c>
      <c r="W5" s="14" t="s">
        <v>82</v>
      </c>
      <c r="X5" s="14" t="s">
        <v>82</v>
      </c>
      <c r="Y5" s="14" t="s">
        <v>111</v>
      </c>
      <c r="Z5" s="14" t="s">
        <v>112</v>
      </c>
      <c r="AA5" s="14" t="s">
        <v>113</v>
      </c>
      <c r="AB5" s="14" t="s">
        <v>114</v>
      </c>
      <c r="AC5" s="14" t="s">
        <v>115</v>
      </c>
      <c r="AD5" s="17" t="s">
        <v>116</v>
      </c>
      <c r="AE5" s="14" t="s">
        <v>82</v>
      </c>
      <c r="AF5" s="17" t="s">
        <v>117</v>
      </c>
      <c r="AG5" s="15" t="s">
        <v>118</v>
      </c>
      <c r="AH5" s="14" t="s">
        <v>82</v>
      </c>
      <c r="AI5" s="14"/>
    </row>
    <row r="6" customFormat="false" ht="30" hidden="false" customHeight="true" outlineLevel="0" collapsed="false">
      <c r="A6" s="18" t="s">
        <v>119</v>
      </c>
      <c r="B6" s="18"/>
      <c r="C6" s="19" t="n">
        <v>45702</v>
      </c>
      <c r="D6" s="18" t="n">
        <v>2025</v>
      </c>
      <c r="E6" s="18" t="n">
        <v>2</v>
      </c>
      <c r="F6" s="18" t="n">
        <f aca="false">WEEKNUM(C6,21)</f>
        <v>7</v>
      </c>
      <c r="G6" s="18" t="s">
        <v>120</v>
      </c>
      <c r="H6" s="18" t="s">
        <v>121</v>
      </c>
      <c r="I6" s="18" t="s">
        <v>122</v>
      </c>
      <c r="J6" s="20" t="s">
        <v>123</v>
      </c>
      <c r="K6" s="18" t="s">
        <v>82</v>
      </c>
      <c r="L6" s="18" t="n">
        <v>0</v>
      </c>
      <c r="M6" s="18" t="s">
        <v>124</v>
      </c>
      <c r="N6" s="18" t="s">
        <v>125</v>
      </c>
      <c r="O6" s="18" t="s">
        <v>126</v>
      </c>
      <c r="P6" s="18" t="s">
        <v>86</v>
      </c>
      <c r="Q6" s="18" t="s">
        <v>127</v>
      </c>
      <c r="R6" s="18" t="n">
        <v>36</v>
      </c>
      <c r="S6" s="18" t="s">
        <v>128</v>
      </c>
      <c r="T6" s="18" t="s">
        <v>129</v>
      </c>
      <c r="U6" s="18" t="s">
        <v>130</v>
      </c>
      <c r="V6" s="18" t="s">
        <v>123</v>
      </c>
      <c r="W6" s="18" t="s">
        <v>82</v>
      </c>
      <c r="X6" s="18" t="s">
        <v>82</v>
      </c>
      <c r="Y6" s="18" t="s">
        <v>131</v>
      </c>
      <c r="Z6" s="18" t="s">
        <v>132</v>
      </c>
      <c r="AA6" s="18" t="s">
        <v>133</v>
      </c>
      <c r="AB6" s="18" t="s">
        <v>134</v>
      </c>
      <c r="AC6" s="18" t="s">
        <v>135</v>
      </c>
      <c r="AD6" s="21" t="s">
        <v>136</v>
      </c>
      <c r="AE6" s="18" t="s">
        <v>82</v>
      </c>
      <c r="AF6" s="21" t="s">
        <v>137</v>
      </c>
      <c r="AG6" s="19" t="s">
        <v>99</v>
      </c>
      <c r="AH6" s="18" t="s">
        <v>86</v>
      </c>
      <c r="AI6" s="18"/>
    </row>
    <row r="7" customFormat="false" ht="30" hidden="false" customHeight="true" outlineLevel="0" collapsed="false">
      <c r="A7" s="14" t="s">
        <v>138</v>
      </c>
      <c r="B7" s="14"/>
      <c r="C7" s="15" t="n">
        <v>45717</v>
      </c>
      <c r="D7" s="14" t="n">
        <v>2025</v>
      </c>
      <c r="E7" s="14" t="n">
        <v>3</v>
      </c>
      <c r="F7" s="14" t="n">
        <f aca="false">WEEKNUM(C7,21)</f>
        <v>9</v>
      </c>
      <c r="G7" s="14" t="s">
        <v>139</v>
      </c>
      <c r="H7" s="14" t="s">
        <v>140</v>
      </c>
      <c r="I7" s="14" t="s">
        <v>80</v>
      </c>
      <c r="J7" s="22" t="s">
        <v>141</v>
      </c>
      <c r="K7" s="14" t="s">
        <v>82</v>
      </c>
      <c r="L7" s="14" t="n">
        <v>0</v>
      </c>
      <c r="M7" s="14" t="s">
        <v>83</v>
      </c>
      <c r="N7" s="14" t="s">
        <v>142</v>
      </c>
      <c r="O7" s="14" t="s">
        <v>143</v>
      </c>
      <c r="P7" s="14" t="s">
        <v>86</v>
      </c>
      <c r="Q7" s="14" t="s">
        <v>144</v>
      </c>
      <c r="R7" s="14" t="n">
        <v>3</v>
      </c>
      <c r="S7" s="14" t="s">
        <v>88</v>
      </c>
      <c r="T7" s="14" t="s">
        <v>145</v>
      </c>
      <c r="U7" s="14" t="s">
        <v>146</v>
      </c>
      <c r="V7" s="14" t="s">
        <v>147</v>
      </c>
      <c r="W7" s="14" t="s">
        <v>82</v>
      </c>
      <c r="X7" s="14" t="s">
        <v>86</v>
      </c>
      <c r="Y7" s="14" t="s">
        <v>148</v>
      </c>
      <c r="Z7" s="14" t="s">
        <v>149</v>
      </c>
      <c r="AA7" s="14" t="s">
        <v>150</v>
      </c>
      <c r="AB7" s="14" t="s">
        <v>151</v>
      </c>
      <c r="AC7" s="14" t="s">
        <v>115</v>
      </c>
      <c r="AD7" s="17" t="s">
        <v>152</v>
      </c>
      <c r="AE7" s="14" t="s">
        <v>82</v>
      </c>
      <c r="AF7" s="17" t="s">
        <v>153</v>
      </c>
      <c r="AG7" s="15" t="s">
        <v>154</v>
      </c>
      <c r="AH7" s="14" t="s">
        <v>82</v>
      </c>
      <c r="AI7" s="14"/>
    </row>
    <row r="8" customFormat="false" ht="30" hidden="false" customHeight="true" outlineLevel="0" collapsed="false">
      <c r="A8" s="10" t="s">
        <v>155</v>
      </c>
      <c r="B8" s="10"/>
      <c r="C8" s="11" t="n">
        <v>45734</v>
      </c>
      <c r="D8" s="10" t="n">
        <v>2025</v>
      </c>
      <c r="E8" s="10" t="n">
        <v>3</v>
      </c>
      <c r="F8" s="10" t="n">
        <f aca="false">WEEKNUM(C8,21)</f>
        <v>12</v>
      </c>
      <c r="G8" s="10" t="s">
        <v>156</v>
      </c>
      <c r="H8" s="10" t="s">
        <v>157</v>
      </c>
      <c r="I8" s="10" t="s">
        <v>80</v>
      </c>
      <c r="J8" s="12" t="s">
        <v>81</v>
      </c>
      <c r="K8" s="10" t="s">
        <v>82</v>
      </c>
      <c r="L8" s="10" t="n">
        <v>12</v>
      </c>
      <c r="M8" s="10" t="s">
        <v>158</v>
      </c>
      <c r="N8" s="10" t="s">
        <v>159</v>
      </c>
      <c r="O8" s="10" t="s">
        <v>160</v>
      </c>
      <c r="P8" s="10" t="s">
        <v>86</v>
      </c>
      <c r="Q8" s="10" t="s">
        <v>161</v>
      </c>
      <c r="R8" s="10" t="n">
        <v>60</v>
      </c>
      <c r="S8" s="10" t="s">
        <v>88</v>
      </c>
      <c r="T8" s="10" t="s">
        <v>162</v>
      </c>
      <c r="U8" s="10" t="s">
        <v>163</v>
      </c>
      <c r="V8" s="10" t="s">
        <v>164</v>
      </c>
      <c r="W8" s="10" t="s">
        <v>82</v>
      </c>
      <c r="X8" s="10" t="s">
        <v>82</v>
      </c>
      <c r="Y8" s="10" t="s">
        <v>165</v>
      </c>
      <c r="Z8" s="10" t="s">
        <v>166</v>
      </c>
      <c r="AA8" s="10" t="s">
        <v>167</v>
      </c>
      <c r="AB8" s="10" t="s">
        <v>168</v>
      </c>
      <c r="AC8" s="10" t="s">
        <v>135</v>
      </c>
      <c r="AD8" s="13" t="s">
        <v>169</v>
      </c>
      <c r="AE8" s="10" t="s">
        <v>82</v>
      </c>
      <c r="AF8" s="13" t="s">
        <v>170</v>
      </c>
      <c r="AG8" s="11" t="s">
        <v>171</v>
      </c>
      <c r="AH8" s="10" t="s">
        <v>82</v>
      </c>
      <c r="AI8" s="10"/>
    </row>
    <row r="9" customFormat="false" ht="30" hidden="false" customHeight="true" outlineLevel="0" collapsed="false">
      <c r="A9" s="14" t="s">
        <v>172</v>
      </c>
      <c r="B9" s="14"/>
      <c r="C9" s="15" t="n">
        <v>45749</v>
      </c>
      <c r="D9" s="14" t="n">
        <v>2025</v>
      </c>
      <c r="E9" s="14" t="n">
        <v>4</v>
      </c>
      <c r="F9" s="14" t="n">
        <f aca="false">WEEKNUM(C9,21)</f>
        <v>14</v>
      </c>
      <c r="G9" s="14" t="s">
        <v>78</v>
      </c>
      <c r="H9" s="14" t="s">
        <v>173</v>
      </c>
      <c r="I9" s="14" t="s">
        <v>80</v>
      </c>
      <c r="J9" s="16" t="s">
        <v>103</v>
      </c>
      <c r="K9" s="14" t="s">
        <v>82</v>
      </c>
      <c r="L9" s="14" t="n">
        <v>0</v>
      </c>
      <c r="M9" s="14" t="s">
        <v>83</v>
      </c>
      <c r="N9" s="14" t="s">
        <v>174</v>
      </c>
      <c r="O9" s="14" t="s">
        <v>175</v>
      </c>
      <c r="P9" s="14" t="s">
        <v>86</v>
      </c>
      <c r="Q9" s="14" t="s">
        <v>176</v>
      </c>
      <c r="R9" s="14" t="n">
        <v>48</v>
      </c>
      <c r="S9" s="14" t="s">
        <v>88</v>
      </c>
      <c r="T9" s="14" t="s">
        <v>177</v>
      </c>
      <c r="U9" s="14" t="s">
        <v>178</v>
      </c>
      <c r="V9" s="14" t="s">
        <v>179</v>
      </c>
      <c r="W9" s="14" t="s">
        <v>82</v>
      </c>
      <c r="X9" s="14" t="s">
        <v>82</v>
      </c>
      <c r="Y9" s="14" t="s">
        <v>180</v>
      </c>
      <c r="Z9" s="14" t="s">
        <v>181</v>
      </c>
      <c r="AA9" s="14" t="s">
        <v>182</v>
      </c>
      <c r="AB9" s="14" t="s">
        <v>183</v>
      </c>
      <c r="AC9" s="14" t="s">
        <v>96</v>
      </c>
      <c r="AD9" s="17" t="s">
        <v>184</v>
      </c>
      <c r="AE9" s="14" t="s">
        <v>82</v>
      </c>
      <c r="AF9" s="17" t="s">
        <v>185</v>
      </c>
      <c r="AG9" s="15" t="s">
        <v>186</v>
      </c>
      <c r="AH9" s="14" t="s">
        <v>82</v>
      </c>
      <c r="AI9" s="14"/>
    </row>
    <row r="10" customFormat="false" ht="30" hidden="false" customHeight="true" outlineLevel="0" collapsed="false">
      <c r="A10" s="18" t="s">
        <v>187</v>
      </c>
      <c r="B10" s="18"/>
      <c r="C10" s="19" t="n">
        <v>45762</v>
      </c>
      <c r="D10" s="18" t="n">
        <v>2025</v>
      </c>
      <c r="E10" s="18" t="n">
        <v>4</v>
      </c>
      <c r="F10" s="18" t="n">
        <f aca="false">WEEKNUM(C10,21)</f>
        <v>16</v>
      </c>
      <c r="G10" s="18" t="s">
        <v>156</v>
      </c>
      <c r="H10" s="18" t="s">
        <v>188</v>
      </c>
      <c r="I10" s="18" t="s">
        <v>122</v>
      </c>
      <c r="J10" s="20" t="s">
        <v>123</v>
      </c>
      <c r="K10" s="18" t="s">
        <v>82</v>
      </c>
      <c r="L10" s="18" t="n">
        <v>0</v>
      </c>
      <c r="M10" s="18" t="s">
        <v>104</v>
      </c>
      <c r="N10" s="18" t="s">
        <v>189</v>
      </c>
      <c r="O10" s="18" t="s">
        <v>190</v>
      </c>
      <c r="P10" s="18" t="s">
        <v>86</v>
      </c>
      <c r="Q10" s="18" t="s">
        <v>191</v>
      </c>
      <c r="R10" s="18" t="n">
        <v>12</v>
      </c>
      <c r="S10" s="18" t="s">
        <v>88</v>
      </c>
      <c r="T10" s="18" t="s">
        <v>192</v>
      </c>
      <c r="U10" s="18" t="s">
        <v>130</v>
      </c>
      <c r="V10" s="18" t="s">
        <v>123</v>
      </c>
      <c r="W10" s="18" t="s">
        <v>86</v>
      </c>
      <c r="X10" s="18" t="s">
        <v>86</v>
      </c>
      <c r="Y10" s="18" t="s">
        <v>193</v>
      </c>
      <c r="Z10" s="18" t="s">
        <v>194</v>
      </c>
      <c r="AA10" s="18" t="s">
        <v>195</v>
      </c>
      <c r="AB10" s="18" t="s">
        <v>196</v>
      </c>
      <c r="AC10" s="18" t="s">
        <v>135</v>
      </c>
      <c r="AD10" s="21" t="s">
        <v>197</v>
      </c>
      <c r="AE10" s="18" t="s">
        <v>82</v>
      </c>
      <c r="AF10" s="21" t="s">
        <v>198</v>
      </c>
      <c r="AG10" s="19" t="s">
        <v>199</v>
      </c>
      <c r="AH10" s="18" t="s">
        <v>86</v>
      </c>
      <c r="AI10" s="18"/>
    </row>
    <row r="11" customFormat="false" ht="30" hidden="false" customHeight="true" outlineLevel="0" collapsed="false">
      <c r="A11" s="14" t="s">
        <v>200</v>
      </c>
      <c r="B11" s="14"/>
      <c r="C11" s="15" t="n">
        <v>45775</v>
      </c>
      <c r="D11" s="14" t="n">
        <v>2025</v>
      </c>
      <c r="E11" s="14" t="n">
        <v>4</v>
      </c>
      <c r="F11" s="14" t="n">
        <f aca="false">WEEKNUM(C11,21)</f>
        <v>18</v>
      </c>
      <c r="G11" s="14" t="s">
        <v>101</v>
      </c>
      <c r="H11" s="14" t="s">
        <v>201</v>
      </c>
      <c r="I11" s="14" t="s">
        <v>80</v>
      </c>
      <c r="J11" s="22" t="s">
        <v>141</v>
      </c>
      <c r="K11" s="14" t="s">
        <v>82</v>
      </c>
      <c r="L11" s="14" t="n">
        <v>0</v>
      </c>
      <c r="M11" s="14" t="s">
        <v>124</v>
      </c>
      <c r="N11" s="14" t="s">
        <v>202</v>
      </c>
      <c r="O11" s="14" t="s">
        <v>203</v>
      </c>
      <c r="P11" s="14" t="s">
        <v>82</v>
      </c>
      <c r="Q11" s="14" t="s">
        <v>204</v>
      </c>
      <c r="R11" s="14" t="n">
        <v>1</v>
      </c>
      <c r="S11" s="14" t="s">
        <v>128</v>
      </c>
      <c r="T11" s="14" t="s">
        <v>205</v>
      </c>
      <c r="U11" s="14" t="s">
        <v>90</v>
      </c>
      <c r="V11" s="14" t="s">
        <v>91</v>
      </c>
      <c r="W11" s="14" t="s">
        <v>82</v>
      </c>
      <c r="X11" s="14" t="s">
        <v>86</v>
      </c>
      <c r="Y11" s="14" t="s">
        <v>206</v>
      </c>
      <c r="Z11" s="14" t="s">
        <v>207</v>
      </c>
      <c r="AA11" s="14" t="s">
        <v>208</v>
      </c>
      <c r="AB11" s="14" t="s">
        <v>209</v>
      </c>
      <c r="AC11" s="14" t="s">
        <v>135</v>
      </c>
      <c r="AD11" s="17" t="s">
        <v>210</v>
      </c>
      <c r="AE11" s="14" t="s">
        <v>82</v>
      </c>
      <c r="AF11" s="17" t="s">
        <v>211</v>
      </c>
      <c r="AG11" s="15" t="s">
        <v>212</v>
      </c>
      <c r="AH11" s="14" t="s">
        <v>82</v>
      </c>
      <c r="AI11" s="14"/>
    </row>
    <row r="12" customFormat="false" ht="30" hidden="false" customHeight="true" outlineLevel="0" collapsed="false">
      <c r="A12" s="18" t="s">
        <v>213</v>
      </c>
      <c r="B12" s="18"/>
      <c r="C12" s="19" t="n">
        <v>45789</v>
      </c>
      <c r="D12" s="18" t="n">
        <v>2025</v>
      </c>
      <c r="E12" s="18" t="n">
        <v>5</v>
      </c>
      <c r="F12" s="18" t="n">
        <f aca="false">WEEKNUM(C12,21)</f>
        <v>20</v>
      </c>
      <c r="G12" s="18" t="s">
        <v>101</v>
      </c>
      <c r="H12" s="18" t="s">
        <v>214</v>
      </c>
      <c r="I12" s="18" t="s">
        <v>215</v>
      </c>
      <c r="J12" s="20" t="s">
        <v>123</v>
      </c>
      <c r="K12" s="18" t="s">
        <v>82</v>
      </c>
      <c r="L12" s="18" t="n">
        <v>0</v>
      </c>
      <c r="M12" s="18" t="s">
        <v>83</v>
      </c>
      <c r="N12" s="18" t="s">
        <v>216</v>
      </c>
      <c r="O12" s="18" t="s">
        <v>217</v>
      </c>
      <c r="P12" s="18" t="s">
        <v>86</v>
      </c>
      <c r="Q12" s="18" t="s">
        <v>218</v>
      </c>
      <c r="R12" s="18" t="n">
        <v>18</v>
      </c>
      <c r="S12" s="18" t="s">
        <v>124</v>
      </c>
      <c r="T12" s="18" t="s">
        <v>129</v>
      </c>
      <c r="U12" s="18" t="s">
        <v>130</v>
      </c>
      <c r="V12" s="18" t="s">
        <v>123</v>
      </c>
      <c r="W12" s="18" t="s">
        <v>82</v>
      </c>
      <c r="X12" s="18" t="s">
        <v>82</v>
      </c>
      <c r="Y12" s="18" t="s">
        <v>219</v>
      </c>
      <c r="Z12" s="18" t="s">
        <v>220</v>
      </c>
      <c r="AA12" s="18" t="s">
        <v>221</v>
      </c>
      <c r="AB12" s="18" t="s">
        <v>222</v>
      </c>
      <c r="AC12" s="18" t="s">
        <v>115</v>
      </c>
      <c r="AD12" s="21" t="s">
        <v>223</v>
      </c>
      <c r="AE12" s="18" t="s">
        <v>82</v>
      </c>
      <c r="AF12" s="21" t="s">
        <v>224</v>
      </c>
      <c r="AG12" s="19" t="s">
        <v>225</v>
      </c>
      <c r="AH12" s="18" t="s">
        <v>86</v>
      </c>
      <c r="AI12" s="18" t="s">
        <v>226</v>
      </c>
    </row>
    <row r="13" customFormat="false" ht="23.25" hidden="false" customHeight="true" outlineLevel="0" collapsed="false">
      <c r="A13" s="14" t="s">
        <v>227</v>
      </c>
      <c r="B13" s="14"/>
      <c r="C13" s="15" t="n">
        <v>45811</v>
      </c>
      <c r="D13" s="14" t="n">
        <v>2025</v>
      </c>
      <c r="E13" s="14" t="n">
        <v>6</v>
      </c>
      <c r="F13" s="14" t="n">
        <f aca="false">WEEKNUM(C13,21)</f>
        <v>23</v>
      </c>
      <c r="G13" s="14" t="s">
        <v>156</v>
      </c>
      <c r="H13" s="14" t="s">
        <v>228</v>
      </c>
      <c r="I13" s="14" t="s">
        <v>80</v>
      </c>
      <c r="J13" s="16" t="s">
        <v>103</v>
      </c>
      <c r="K13" s="14" t="s">
        <v>82</v>
      </c>
      <c r="L13" s="14" t="n">
        <v>0</v>
      </c>
      <c r="M13" s="14" t="s">
        <v>229</v>
      </c>
      <c r="N13" s="14" t="s">
        <v>230</v>
      </c>
      <c r="O13" s="14" t="s">
        <v>231</v>
      </c>
      <c r="P13" s="14" t="s">
        <v>86</v>
      </c>
      <c r="Q13" s="14" t="s">
        <v>232</v>
      </c>
      <c r="R13" s="14" t="n">
        <v>84</v>
      </c>
      <c r="S13" s="14" t="s">
        <v>88</v>
      </c>
      <c r="T13" s="14" t="s">
        <v>233</v>
      </c>
      <c r="U13" s="14" t="s">
        <v>234</v>
      </c>
      <c r="V13" s="14" t="s">
        <v>235</v>
      </c>
      <c r="W13" s="14" t="s">
        <v>86</v>
      </c>
      <c r="X13" s="14" t="s">
        <v>86</v>
      </c>
      <c r="Y13" s="14" t="s">
        <v>236</v>
      </c>
      <c r="Z13" s="14" t="s">
        <v>237</v>
      </c>
      <c r="AA13" s="14" t="s">
        <v>238</v>
      </c>
      <c r="AB13" s="14" t="s">
        <v>239</v>
      </c>
      <c r="AC13" s="14" t="s">
        <v>115</v>
      </c>
      <c r="AD13" s="17" t="s">
        <v>240</v>
      </c>
      <c r="AE13" s="14" t="s">
        <v>82</v>
      </c>
      <c r="AF13" s="17" t="s">
        <v>241</v>
      </c>
      <c r="AG13" s="15" t="s">
        <v>242</v>
      </c>
      <c r="AH13" s="14" t="s">
        <v>86</v>
      </c>
      <c r="AI13" s="14"/>
    </row>
  </sheetData>
  <mergeCells count="2">
    <mergeCell ref="A1:AI1"/>
    <mergeCell ref="A2:A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P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1"/>
    <col collapsed="false" customWidth="true" hidden="false" outlineLevel="0" max="2" min="2" style="1" width="18"/>
    <col collapsed="false" customWidth="true" hidden="false" outlineLevel="0" max="3" min="3" style="1" width="37"/>
    <col collapsed="false" customWidth="true" hidden="false" outlineLevel="0" max="4" min="4" style="1" width="20"/>
    <col collapsed="false" customWidth="true" hidden="false" outlineLevel="0" max="5" min="5" style="1" width="22"/>
    <col collapsed="false" customWidth="true" hidden="false" outlineLevel="0" max="6" min="6" style="1" width="37"/>
    <col collapsed="false" customWidth="true" hidden="false" outlineLevel="0" max="7" min="7" style="1" width="14"/>
    <col collapsed="false" customWidth="true" hidden="false" outlineLevel="0" max="8" min="8" style="1" width="17"/>
    <col collapsed="false" customWidth="true" hidden="false" outlineLevel="0" max="10" min="9" style="1" width="5"/>
    <col collapsed="false" customWidth="true" hidden="false" outlineLevel="0" max="11" min="11" style="1" width="7"/>
    <col collapsed="false" customWidth="true" hidden="false" outlineLevel="0" max="13" min="12" style="1" width="15"/>
    <col collapsed="false" customWidth="true" hidden="false" outlineLevel="0" max="14" min="14" style="1" width="5"/>
    <col collapsed="false" customWidth="true" hidden="false" outlineLevel="0" max="15" min="15" style="1" width="32"/>
    <col collapsed="false" customWidth="true" hidden="false" outlineLevel="0" max="16" min="16" style="1" width="25"/>
  </cols>
  <sheetData>
    <row r="1" customFormat="false" ht="24" hidden="false" customHeight="true" outlineLevel="0" collapsed="false">
      <c r="A1" s="23" t="s">
        <v>243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customFormat="false" ht="21.75" hidden="false" customHeight="true" outlineLevel="0" collapsed="false">
      <c r="A2" s="24" t="s">
        <v>51</v>
      </c>
      <c r="B2" s="24" t="s">
        <v>50</v>
      </c>
      <c r="C2" s="24" t="s">
        <v>61</v>
      </c>
      <c r="D2" s="24" t="s">
        <v>62</v>
      </c>
      <c r="E2" s="24" t="s">
        <v>63</v>
      </c>
      <c r="F2" s="24" t="s">
        <v>68</v>
      </c>
      <c r="G2" s="24" t="s">
        <v>70</v>
      </c>
      <c r="H2" s="24" t="s">
        <v>60</v>
      </c>
      <c r="I2" s="24" t="s">
        <v>57</v>
      </c>
      <c r="J2" s="24" t="s">
        <v>64</v>
      </c>
      <c r="K2" s="24" t="s">
        <v>65</v>
      </c>
      <c r="L2" s="24" t="s">
        <v>72</v>
      </c>
      <c r="M2" s="24" t="s">
        <v>75</v>
      </c>
      <c r="N2" s="24" t="s">
        <v>52</v>
      </c>
      <c r="O2" s="24" t="s">
        <v>66</v>
      </c>
      <c r="P2" s="24" t="s">
        <v>54</v>
      </c>
    </row>
    <row r="3" customFormat="false" ht="15" hidden="false" customHeight="true" outlineLevel="0" collapsed="false">
      <c r="A3" s="25" t="s">
        <v>244</v>
      </c>
      <c r="B3" s="25" t="s">
        <v>245</v>
      </c>
      <c r="C3" s="25" t="s">
        <v>246</v>
      </c>
      <c r="D3" s="25" t="s">
        <v>247</v>
      </c>
      <c r="E3" s="25" t="s">
        <v>244</v>
      </c>
      <c r="F3" s="25" t="s">
        <v>248</v>
      </c>
      <c r="G3" s="25" t="s">
        <v>249</v>
      </c>
      <c r="H3" s="25" t="s">
        <v>88</v>
      </c>
      <c r="I3" s="25" t="s">
        <v>250</v>
      </c>
      <c r="J3" s="25" t="s">
        <v>250</v>
      </c>
      <c r="K3" s="25" t="s">
        <v>250</v>
      </c>
      <c r="L3" s="25" t="s">
        <v>250</v>
      </c>
      <c r="M3" s="25" t="s">
        <v>250</v>
      </c>
      <c r="N3" s="25" t="s">
        <v>250</v>
      </c>
      <c r="O3" s="25" t="s">
        <v>251</v>
      </c>
      <c r="P3" s="25" t="s">
        <v>83</v>
      </c>
    </row>
    <row r="4" customFormat="false" ht="15" hidden="false" customHeight="true" outlineLevel="0" collapsed="false">
      <c r="A4" s="26" t="s">
        <v>252</v>
      </c>
      <c r="B4" s="26" t="s">
        <v>253</v>
      </c>
      <c r="C4" s="26" t="s">
        <v>254</v>
      </c>
      <c r="D4" s="26" t="s">
        <v>255</v>
      </c>
      <c r="E4" s="26" t="s">
        <v>256</v>
      </c>
      <c r="F4" s="26" t="s">
        <v>257</v>
      </c>
      <c r="G4" s="26" t="s">
        <v>258</v>
      </c>
      <c r="H4" s="26" t="s">
        <v>259</v>
      </c>
      <c r="I4" s="26" t="s">
        <v>86</v>
      </c>
      <c r="J4" s="26" t="s">
        <v>86</v>
      </c>
      <c r="K4" s="26" t="s">
        <v>86</v>
      </c>
      <c r="L4" s="26" t="s">
        <v>86</v>
      </c>
      <c r="M4" s="26" t="s">
        <v>86</v>
      </c>
      <c r="N4" s="26" t="s">
        <v>86</v>
      </c>
      <c r="O4" s="26" t="s">
        <v>260</v>
      </c>
      <c r="P4" s="26" t="s">
        <v>124</v>
      </c>
    </row>
    <row r="5" customFormat="false" ht="15" hidden="false" customHeight="true" outlineLevel="0" collapsed="false">
      <c r="A5" s="25" t="s">
        <v>261</v>
      </c>
      <c r="B5" s="25" t="s">
        <v>262</v>
      </c>
      <c r="C5" s="25" t="s">
        <v>263</v>
      </c>
      <c r="D5" s="25" t="s">
        <v>264</v>
      </c>
      <c r="E5" s="25" t="s">
        <v>265</v>
      </c>
      <c r="F5" s="25" t="s">
        <v>266</v>
      </c>
      <c r="G5" s="25" t="s">
        <v>267</v>
      </c>
      <c r="H5" s="25" t="s">
        <v>124</v>
      </c>
      <c r="K5" s="25" t="s">
        <v>268</v>
      </c>
      <c r="L5" s="25" t="s">
        <v>269</v>
      </c>
      <c r="M5" s="25" t="s">
        <v>269</v>
      </c>
      <c r="O5" s="25" t="s">
        <v>270</v>
      </c>
      <c r="P5" s="25" t="s">
        <v>271</v>
      </c>
    </row>
    <row r="6" customFormat="false" ht="15" hidden="false" customHeight="true" outlineLevel="0" collapsed="false">
      <c r="A6" s="26" t="s">
        <v>272</v>
      </c>
      <c r="B6" s="26" t="s">
        <v>273</v>
      </c>
      <c r="C6" s="26" t="s">
        <v>274</v>
      </c>
      <c r="D6" s="26" t="s">
        <v>275</v>
      </c>
      <c r="E6" s="26" t="s">
        <v>276</v>
      </c>
      <c r="F6" s="26" t="s">
        <v>277</v>
      </c>
      <c r="G6" s="26" t="s">
        <v>278</v>
      </c>
      <c r="H6" s="26" t="s">
        <v>279</v>
      </c>
      <c r="O6" s="26" t="s">
        <v>280</v>
      </c>
      <c r="P6" s="26" t="s">
        <v>281</v>
      </c>
    </row>
    <row r="7" customFormat="false" ht="15" hidden="false" customHeight="true" outlineLevel="0" collapsed="false">
      <c r="A7" s="25" t="s">
        <v>282</v>
      </c>
      <c r="C7" s="25" t="s">
        <v>283</v>
      </c>
      <c r="D7" s="25" t="s">
        <v>284</v>
      </c>
      <c r="E7" s="25" t="s">
        <v>164</v>
      </c>
      <c r="F7" s="25" t="s">
        <v>285</v>
      </c>
      <c r="H7" s="25" t="s">
        <v>286</v>
      </c>
      <c r="O7" s="25" t="s">
        <v>287</v>
      </c>
      <c r="P7" s="25" t="s">
        <v>288</v>
      </c>
    </row>
    <row r="8" customFormat="false" ht="15" hidden="false" customHeight="true" outlineLevel="0" collapsed="false">
      <c r="C8" s="26" t="s">
        <v>289</v>
      </c>
      <c r="D8" s="26" t="s">
        <v>290</v>
      </c>
      <c r="E8" s="26" t="s">
        <v>291</v>
      </c>
      <c r="F8" s="26" t="s">
        <v>292</v>
      </c>
      <c r="O8" s="26" t="s">
        <v>293</v>
      </c>
      <c r="P8" s="26" t="s">
        <v>294</v>
      </c>
    </row>
    <row r="9" customFormat="false" ht="15" hidden="false" customHeight="true" outlineLevel="0" collapsed="false">
      <c r="C9" s="25" t="s">
        <v>295</v>
      </c>
      <c r="D9" s="25" t="s">
        <v>296</v>
      </c>
      <c r="E9" s="25" t="s">
        <v>297</v>
      </c>
      <c r="F9" s="25" t="s">
        <v>298</v>
      </c>
      <c r="O9" s="25" t="s">
        <v>299</v>
      </c>
      <c r="P9" s="25" t="s">
        <v>300</v>
      </c>
    </row>
    <row r="10" customFormat="false" ht="15" hidden="false" customHeight="true" outlineLevel="0" collapsed="false">
      <c r="C10" s="26" t="s">
        <v>301</v>
      </c>
      <c r="D10" s="26" t="s">
        <v>302</v>
      </c>
      <c r="E10" s="26" t="s">
        <v>303</v>
      </c>
      <c r="F10" s="26" t="s">
        <v>304</v>
      </c>
      <c r="O10" s="26" t="s">
        <v>305</v>
      </c>
      <c r="P10" s="26" t="s">
        <v>306</v>
      </c>
    </row>
    <row r="11" customFormat="false" ht="15" hidden="false" customHeight="true" outlineLevel="0" collapsed="false">
      <c r="C11" s="25" t="s">
        <v>307</v>
      </c>
      <c r="D11" s="25" t="s">
        <v>308</v>
      </c>
      <c r="E11" s="25" t="s">
        <v>309</v>
      </c>
      <c r="F11" s="25" t="s">
        <v>310</v>
      </c>
      <c r="O11" s="25" t="s">
        <v>311</v>
      </c>
    </row>
    <row r="12" customFormat="false" ht="15" hidden="false" customHeight="true" outlineLevel="0" collapsed="false">
      <c r="C12" s="26" t="s">
        <v>312</v>
      </c>
      <c r="D12" s="26" t="s">
        <v>313</v>
      </c>
      <c r="E12" s="26" t="s">
        <v>314</v>
      </c>
      <c r="F12" s="26" t="s">
        <v>315</v>
      </c>
      <c r="O12" s="26" t="s">
        <v>316</v>
      </c>
    </row>
    <row r="13" customFormat="false" ht="15" hidden="false" customHeight="true" outlineLevel="0" collapsed="false">
      <c r="C13" s="25" t="s">
        <v>317</v>
      </c>
      <c r="D13" s="25" t="s">
        <v>318</v>
      </c>
      <c r="E13" s="25" t="s">
        <v>319</v>
      </c>
      <c r="F13" s="25" t="s">
        <v>320</v>
      </c>
      <c r="O13" s="25" t="s">
        <v>321</v>
      </c>
    </row>
    <row r="14" customFormat="false" ht="15" hidden="false" customHeight="true" outlineLevel="0" collapsed="false">
      <c r="C14" s="26" t="s">
        <v>322</v>
      </c>
      <c r="D14" s="26" t="s">
        <v>323</v>
      </c>
      <c r="E14" s="26" t="s">
        <v>324</v>
      </c>
      <c r="F14" s="26" t="s">
        <v>325</v>
      </c>
      <c r="O14" s="26" t="s">
        <v>326</v>
      </c>
    </row>
    <row r="15" customFormat="false" ht="15" hidden="false" customHeight="true" outlineLevel="0" collapsed="false">
      <c r="C15" s="25" t="s">
        <v>327</v>
      </c>
      <c r="D15" s="25" t="s">
        <v>328</v>
      </c>
      <c r="E15" s="25" t="s">
        <v>329</v>
      </c>
      <c r="F15" s="25" t="s">
        <v>330</v>
      </c>
      <c r="O15" s="25" t="s">
        <v>331</v>
      </c>
    </row>
    <row r="16" customFormat="false" ht="15" hidden="false" customHeight="true" outlineLevel="0" collapsed="false">
      <c r="C16" s="26" t="s">
        <v>332</v>
      </c>
      <c r="D16" s="26" t="s">
        <v>333</v>
      </c>
      <c r="E16" s="26" t="s">
        <v>334</v>
      </c>
      <c r="F16" s="26" t="s">
        <v>335</v>
      </c>
      <c r="O16" s="26" t="s">
        <v>336</v>
      </c>
    </row>
    <row r="17" customFormat="false" ht="15" hidden="false" customHeight="true" outlineLevel="0" collapsed="false">
      <c r="C17" s="25" t="s">
        <v>337</v>
      </c>
      <c r="D17" s="25" t="s">
        <v>338</v>
      </c>
      <c r="E17" s="25" t="s">
        <v>339</v>
      </c>
      <c r="F17" s="25" t="s">
        <v>340</v>
      </c>
      <c r="O17" s="25" t="s">
        <v>341</v>
      </c>
    </row>
    <row r="18" customFormat="false" ht="15" hidden="false" customHeight="true" outlineLevel="0" collapsed="false">
      <c r="D18" s="26" t="s">
        <v>342</v>
      </c>
      <c r="E18" s="26" t="s">
        <v>343</v>
      </c>
      <c r="F18" s="26" t="s">
        <v>344</v>
      </c>
      <c r="O18" s="26" t="s">
        <v>337</v>
      </c>
    </row>
    <row r="19" customFormat="false" ht="15" hidden="false" customHeight="true" outlineLevel="0" collapsed="false">
      <c r="D19" s="25" t="s">
        <v>345</v>
      </c>
      <c r="E19" s="25" t="s">
        <v>346</v>
      </c>
      <c r="F19" s="25" t="s">
        <v>347</v>
      </c>
    </row>
    <row r="20" customFormat="false" ht="15" hidden="false" customHeight="true" outlineLevel="0" collapsed="false">
      <c r="D20" s="26" t="s">
        <v>348</v>
      </c>
      <c r="E20" s="26" t="s">
        <v>337</v>
      </c>
      <c r="F20" s="26" t="s">
        <v>349</v>
      </c>
    </row>
    <row r="21" customFormat="false" ht="15" hidden="false" customHeight="true" outlineLevel="0" collapsed="false">
      <c r="D21" s="25" t="s">
        <v>350</v>
      </c>
      <c r="F21" s="25" t="s">
        <v>337</v>
      </c>
    </row>
    <row r="22" customFormat="false" ht="15" hidden="false" customHeight="true" outlineLevel="0" collapsed="false">
      <c r="D22" s="26" t="s">
        <v>351</v>
      </c>
    </row>
    <row r="23" customFormat="false" ht="15" hidden="false" customHeight="true" outlineLevel="0" collapsed="false">
      <c r="D23" s="25" t="s">
        <v>352</v>
      </c>
    </row>
    <row r="24" customFormat="false" ht="15" hidden="false" customHeight="true" outlineLevel="0" collapsed="false">
      <c r="D24" s="26" t="s">
        <v>353</v>
      </c>
    </row>
  </sheetData>
  <mergeCells count="1">
    <mergeCell ref="A1:P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7A2D"/>
    <pageSetUpPr fitToPage="false"/>
  </sheetPr>
  <dimension ref="B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5"/>
    <col collapsed="false" customWidth="true" hidden="false" outlineLevel="0" max="4" min="3" style="1" width="18"/>
    <col collapsed="false" customWidth="true" hidden="false" outlineLevel="0" max="5" min="5" style="1" width="22"/>
  </cols>
  <sheetData>
    <row r="1" customFormat="false" ht="27.75" hidden="false" customHeight="true" outlineLevel="0" collapsed="false">
      <c r="B1" s="7" t="s">
        <v>354</v>
      </c>
      <c r="C1" s="7"/>
      <c r="D1" s="7"/>
      <c r="E1" s="7"/>
    </row>
    <row r="3" customFormat="false" ht="15" hidden="false" customHeight="true" outlineLevel="0" collapsed="false">
      <c r="B3" s="27" t="s">
        <v>355</v>
      </c>
      <c r="C3" s="28" t="n">
        <v>50000</v>
      </c>
      <c r="D3" s="29" t="s">
        <v>356</v>
      </c>
    </row>
    <row r="4" customFormat="false" ht="15" hidden="false" customHeight="true" outlineLevel="0" collapsed="false">
      <c r="B4" s="27" t="s">
        <v>357</v>
      </c>
      <c r="C4" s="30" t="n">
        <v>2025</v>
      </c>
    </row>
    <row r="6" customFormat="false" ht="21.75" hidden="false" customHeight="true" outlineLevel="0" collapsed="false">
      <c r="B6" s="31" t="s">
        <v>358</v>
      </c>
      <c r="C6" s="31" t="s">
        <v>359</v>
      </c>
      <c r="D6" s="31" t="s">
        <v>360</v>
      </c>
      <c r="E6" s="31" t="s">
        <v>361</v>
      </c>
    </row>
    <row r="7" customFormat="false" ht="21.75" hidden="false" customHeight="true" outlineLevel="0" collapsed="false">
      <c r="B7" s="32" t="s">
        <v>362</v>
      </c>
      <c r="C7" s="33" t="str">
        <f aca="false">'📋 Saisie des données'!A4</f>
        <v>ACC-2025-001</v>
      </c>
      <c r="D7" s="34" t="s">
        <v>363</v>
      </c>
      <c r="E7" s="35" t="s">
        <v>364</v>
      </c>
    </row>
    <row r="8" customFormat="false" ht="21.75" hidden="false" customHeight="true" outlineLevel="0" collapsed="false">
      <c r="B8" s="36" t="s">
        <v>365</v>
      </c>
      <c r="C8" s="33" t="n">
        <f aca="false">COUNTIF('📋 Saisie des données'!J4:J1000,"Near Miss")</f>
        <v>3</v>
      </c>
      <c r="D8" s="34" t="s">
        <v>366</v>
      </c>
      <c r="E8" s="37" t="s">
        <v>364</v>
      </c>
    </row>
    <row r="9" customFormat="false" ht="21.75" hidden="false" customHeight="true" outlineLevel="0" collapsed="false">
      <c r="B9" s="32" t="s">
        <v>367</v>
      </c>
      <c r="C9" s="33" t="n">
        <f aca="false">COUNTIF('📋 Saisie des données'!J4:J1000,"First Aid")</f>
        <v>3</v>
      </c>
      <c r="D9" s="34" t="s">
        <v>368</v>
      </c>
      <c r="E9" s="35" t="s">
        <v>364</v>
      </c>
    </row>
    <row r="10" customFormat="false" ht="21.75" hidden="false" customHeight="true" outlineLevel="0" collapsed="false">
      <c r="B10" s="36" t="s">
        <v>369</v>
      </c>
      <c r="C10" s="33" t="n">
        <f aca="false">COUNTIF('📋 Saisie des données'!J4:J1000,"Medical Treatment")</f>
        <v>2</v>
      </c>
      <c r="D10" s="34" t="s">
        <v>370</v>
      </c>
      <c r="E10" s="37" t="s">
        <v>364</v>
      </c>
    </row>
    <row r="11" customFormat="false" ht="21.75" hidden="false" customHeight="true" outlineLevel="0" collapsed="false">
      <c r="B11" s="32" t="s">
        <v>371</v>
      </c>
      <c r="C11" s="33" t="n">
        <f aca="false">COUNTIF('📋 Saisie des données'!J4:J1000,"Lost Time")</f>
        <v>2</v>
      </c>
      <c r="D11" s="34" t="s">
        <v>372</v>
      </c>
      <c r="E11" s="35" t="s">
        <v>364</v>
      </c>
    </row>
    <row r="12" customFormat="false" ht="21.75" hidden="false" customHeight="true" outlineLevel="0" collapsed="false">
      <c r="B12" s="36" t="s">
        <v>282</v>
      </c>
      <c r="C12" s="33" t="n">
        <f aca="false">COUNTIF('📋 Saisie des données'!J4:J1000,"Fatality")</f>
        <v>0</v>
      </c>
      <c r="D12" s="34" t="s">
        <v>373</v>
      </c>
      <c r="E12" s="37" t="s">
        <v>374</v>
      </c>
    </row>
    <row r="13" customFormat="false" ht="21.75" hidden="false" customHeight="true" outlineLevel="0" collapsed="false">
      <c r="B13" s="32" t="s">
        <v>375</v>
      </c>
      <c r="C13" s="33" t="n">
        <f aca="false">SUM('📋 Saisie des données'!L4:L1000)</f>
        <v>15</v>
      </c>
      <c r="D13" s="34" t="s">
        <v>376</v>
      </c>
      <c r="E13" s="35" t="s">
        <v>364</v>
      </c>
    </row>
    <row r="14" customFormat="false" ht="21.75" hidden="false" customHeight="true" outlineLevel="0" collapsed="false">
      <c r="B14" s="36" t="s">
        <v>377</v>
      </c>
      <c r="C14" s="33" t="n">
        <f aca="false">IF(C4&gt;0,(C12*1000000)/C4,0)</f>
        <v>0</v>
      </c>
      <c r="D14" s="34" t="s">
        <v>378</v>
      </c>
      <c r="E14" s="37" t="s">
        <v>379</v>
      </c>
    </row>
    <row r="15" customFormat="false" ht="21.75" hidden="false" customHeight="true" outlineLevel="0" collapsed="false">
      <c r="B15" s="32" t="s">
        <v>380</v>
      </c>
      <c r="C15" s="38" t="n">
        <f aca="false">IF(C4&gt;0,(C14*1000000)/C4,0)</f>
        <v>0</v>
      </c>
      <c r="D15" s="34" t="s">
        <v>381</v>
      </c>
      <c r="E15" s="35" t="s">
        <v>364</v>
      </c>
    </row>
    <row r="16" customFormat="false" ht="21.75" hidden="false" customHeight="true" outlineLevel="0" collapsed="false">
      <c r="B16" s="36" t="s">
        <v>382</v>
      </c>
      <c r="C16" s="38" t="n">
        <f aca="false">IF((C9+C10+C11+C13)&gt;0,C8/(C9+C10+C11+C13),"—")</f>
        <v>0.136363636363636</v>
      </c>
      <c r="D16" s="34" t="s">
        <v>383</v>
      </c>
      <c r="E16" s="37" t="s">
        <v>384</v>
      </c>
    </row>
    <row r="17" customFormat="false" ht="21.75" hidden="false" customHeight="true" outlineLevel="0" collapsed="false">
      <c r="B17" s="32" t="s">
        <v>385</v>
      </c>
      <c r="C17" s="33" t="n">
        <f aca="false">IFERROR(COUNTIFS('📋 Saisie des données'!W4:W1000,"Y",'📋 Saisie des données'!X4:X1000,"N")/COUNTIF('📋 Saisie des données'!W4:W1000,"Y"),0)</f>
        <v>0.375</v>
      </c>
      <c r="D17" s="34" t="s">
        <v>386</v>
      </c>
      <c r="E17" s="35" t="s">
        <v>387</v>
      </c>
    </row>
    <row r="18" customFormat="false" ht="21.75" hidden="false" customHeight="true" outlineLevel="0" collapsed="false">
      <c r="B18" s="36" t="s">
        <v>388</v>
      </c>
      <c r="C18" s="39" t="n">
        <f aca="false">IFERROR(COUNTIF('📋 Saisie des données'!P4:P1000,"Y")/C7,0)</f>
        <v>0</v>
      </c>
      <c r="D18" s="34" t="s">
        <v>389</v>
      </c>
      <c r="E18" s="37" t="s">
        <v>390</v>
      </c>
    </row>
    <row r="19" customFormat="false" ht="21.75" hidden="false" customHeight="true" outlineLevel="0" collapsed="false">
      <c r="B19" s="32" t="s">
        <v>391</v>
      </c>
      <c r="C19" s="39" t="n">
        <f aca="false">IFERROR(COUNTIF('📋 Saisie des données'!R4:R1000,"&lt;=6")/C7,0)</f>
        <v>0</v>
      </c>
      <c r="D19" s="34" t="s">
        <v>392</v>
      </c>
      <c r="E19" s="35" t="s">
        <v>390</v>
      </c>
    </row>
    <row r="20" customFormat="false" ht="15" hidden="false" customHeight="true" outlineLevel="0" collapsed="false">
      <c r="C20" s="40"/>
    </row>
  </sheetData>
  <mergeCells count="1">
    <mergeCell ref="B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97D"/>
    <pageSetUpPr fitToPage="false"/>
  </sheetPr>
  <dimension ref="B1:AI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</cols>
  <sheetData>
    <row r="1" customFormat="false" ht="27.75" hidden="false" customHeight="true" outlineLevel="0" collapsed="false">
      <c r="B1" s="7" t="s">
        <v>393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V1" s="1" t="s">
        <v>394</v>
      </c>
      <c r="W1" s="1" t="s">
        <v>123</v>
      </c>
      <c r="X1" s="1" t="s">
        <v>103</v>
      </c>
      <c r="Y1" s="1" t="s">
        <v>141</v>
      </c>
      <c r="Z1" s="1" t="s">
        <v>81</v>
      </c>
      <c r="AB1" s="1" t="s">
        <v>18</v>
      </c>
      <c r="AC1" s="1" t="s">
        <v>395</v>
      </c>
      <c r="AE1" s="1" t="s">
        <v>22</v>
      </c>
      <c r="AF1" s="1" t="s">
        <v>395</v>
      </c>
      <c r="AH1" s="1" t="s">
        <v>396</v>
      </c>
      <c r="AI1" s="1" t="s">
        <v>395</v>
      </c>
    </row>
    <row r="2" customFormat="false" ht="15" hidden="false" customHeight="true" outlineLevel="0" collapsed="false">
      <c r="B2" s="41" t="s">
        <v>397</v>
      </c>
      <c r="V2" s="1" t="s">
        <v>398</v>
      </c>
      <c r="W2" s="1" t="n">
        <f aca="false">COUNTIFS('📋 Saisie des données'!E4:E1000,$C$4,'📋 Saisie des données'!F4:F1000,1,'📋 Saisie des données'!J4:J1000,"Near Miss")</f>
        <v>0</v>
      </c>
      <c r="X2" s="1" t="n">
        <f aca="false">COUNTIFS('📋 Saisie des données'!E4:E1000,$C$4,'📋 Saisie des données'!F4:F1000,1,'📋 Saisie des données'!J4:J1000,"First Aid")</f>
        <v>0</v>
      </c>
      <c r="Y2" s="1" t="n">
        <f aca="false">COUNTIFS('📋 Saisie des données'!E4:E1000,$C$4,'📋 Saisie des données'!F4:F1000,1,'📋 Saisie des données'!J4:J1000,"Medical Treatment")</f>
        <v>0</v>
      </c>
      <c r="Z2" s="1" t="n">
        <f aca="false">COUNTIFS('📋 Saisie des données'!E4:E1000,$C$4,'📋 Saisie des données'!F4:F1000,1,'📋 Saisie des données'!J4:J1000,"Lost Time")</f>
        <v>0</v>
      </c>
      <c r="AB2" s="1" t="s">
        <v>399</v>
      </c>
      <c r="AC2" s="1" t="n">
        <f aca="false">COUNTIF('📋 Saisie des données'!T4:T1000,"Struck by — moving object")</f>
        <v>0</v>
      </c>
      <c r="AE2" s="1" t="s">
        <v>400</v>
      </c>
      <c r="AF2" s="1" t="n">
        <f aca="false">COUNTIF('📋 Saisie des données'!AA4:AA1000,"Procedure not followed")</f>
        <v>0</v>
      </c>
      <c r="AH2" s="1" t="s">
        <v>83</v>
      </c>
      <c r="AI2" s="1" t="n">
        <f aca="false">COUNTIF('📋 Saisie des données'!M4:M1000,"Production")</f>
        <v>4</v>
      </c>
    </row>
    <row r="3" customFormat="false" ht="15" hidden="false" customHeight="true" outlineLevel="0" collapsed="false">
      <c r="V3" s="1" t="s">
        <v>401</v>
      </c>
      <c r="W3" s="1" t="n">
        <f aca="false">COUNTIFS('📋 Saisie des données'!E4:E1000,$C$4,'📋 Saisie des données'!F4:F1000,2,'📋 Saisie des données'!J4:J1000,"Near Miss")</f>
        <v>0</v>
      </c>
      <c r="X3" s="1" t="n">
        <f aca="false">COUNTIFS('📋 Saisie des données'!E4:E1000,$C$4,'📋 Saisie des données'!F4:F1000,2,'📋 Saisie des données'!J4:J1000,"First Aid")</f>
        <v>0</v>
      </c>
      <c r="Y3" s="1" t="n">
        <f aca="false">COUNTIFS('📋 Saisie des données'!E4:E1000,$C$4,'📋 Saisie des données'!F4:F1000,2,'📋 Saisie des données'!J4:J1000,"Medical Treatment")</f>
        <v>0</v>
      </c>
      <c r="Z3" s="1" t="n">
        <f aca="false">COUNTIFS('📋 Saisie des données'!E4:E1000,$C$4,'📋 Saisie des données'!F4:F1000,2,'📋 Saisie des données'!J4:J1000,"Lost Time")</f>
        <v>0</v>
      </c>
      <c r="AB3" s="1" t="s">
        <v>402</v>
      </c>
      <c r="AC3" s="1" t="n">
        <f aca="false">COUNTIF('📋 Saisie des données'!T4:T1000,"Struck by — falling object")</f>
        <v>0</v>
      </c>
      <c r="AE3" s="1" t="s">
        <v>403</v>
      </c>
      <c r="AF3" s="1" t="n">
        <f aca="false">COUNTIF('📋 Saisie des données'!AA4:AA1000,"No procedure exists")</f>
        <v>0</v>
      </c>
      <c r="AH3" s="1" t="s">
        <v>124</v>
      </c>
      <c r="AI3" s="1" t="n">
        <f aca="false">COUNTIF('📋 Saisie des données'!M4:M1000,"Maintenance")</f>
        <v>2</v>
      </c>
    </row>
    <row r="4" customFormat="false" ht="15" hidden="false" customHeight="true" outlineLevel="0" collapsed="false">
      <c r="C4" s="1" t="n">
        <f aca="false">'📈 Indicateurs'!C4</f>
        <v>2025</v>
      </c>
      <c r="V4" s="1" t="s">
        <v>404</v>
      </c>
      <c r="W4" s="1" t="n">
        <f aca="false">COUNTIFS('📋 Saisie des données'!E4:E1000,$C$4,'📋 Saisie des données'!F4:F1000,3,'📋 Saisie des données'!J4:J1000,"Near Miss")</f>
        <v>0</v>
      </c>
      <c r="X4" s="1" t="n">
        <f aca="false">COUNTIFS('📋 Saisie des données'!E4:E1000,$C$4,'📋 Saisie des données'!F4:F1000,3,'📋 Saisie des données'!J4:J1000,"First Aid")</f>
        <v>0</v>
      </c>
      <c r="Y4" s="1" t="n">
        <f aca="false">COUNTIFS('📋 Saisie des données'!E4:E1000,$C$4,'📋 Saisie des données'!F4:F1000,3,'📋 Saisie des données'!J4:J1000,"Medical Treatment")</f>
        <v>0</v>
      </c>
      <c r="Z4" s="1" t="n">
        <f aca="false">COUNTIFS('📋 Saisie des données'!E4:E1000,$C$4,'📋 Saisie des données'!F4:F1000,3,'📋 Saisie des données'!J4:J1000,"Lost Time")</f>
        <v>0</v>
      </c>
      <c r="AB4" s="1" t="s">
        <v>177</v>
      </c>
      <c r="AC4" s="1" t="n">
        <f aca="false">COUNTIF('📋 Saisie des données'!T4:T1000,"Struck by — projectile")</f>
        <v>1</v>
      </c>
      <c r="AE4" s="1" t="s">
        <v>405</v>
      </c>
      <c r="AF4" s="1" t="n">
        <f aca="false">COUNTIF('📋 Saisie des données'!AA4:AA1000,"Procedure inadequate")</f>
        <v>0</v>
      </c>
      <c r="AH4" s="1" t="s">
        <v>406</v>
      </c>
      <c r="AI4" s="1" t="n">
        <f aca="false">COUNTIF('📋 Saisie des données'!M4:M1000,"Warehouse / Logistics")</f>
        <v>0</v>
      </c>
    </row>
    <row r="5" customFormat="false" ht="15" hidden="false" customHeight="true" outlineLevel="0" collapsed="false">
      <c r="V5" s="1" t="s">
        <v>407</v>
      </c>
      <c r="W5" s="1" t="n">
        <f aca="false">COUNTIFS('📋 Saisie des données'!E4:E1000,$C$4,'📋 Saisie des données'!F4:F1000,4,'📋 Saisie des données'!J4:J1000,"Near Miss")</f>
        <v>0</v>
      </c>
      <c r="X5" s="1" t="n">
        <f aca="false">COUNTIFS('📋 Saisie des données'!E4:E1000,$C$4,'📋 Saisie des données'!F4:F1000,4,'📋 Saisie des données'!J4:J1000,"First Aid")</f>
        <v>0</v>
      </c>
      <c r="Y5" s="1" t="n">
        <f aca="false">COUNTIFS('📋 Saisie des données'!E4:E1000,$C$4,'📋 Saisie des données'!F4:F1000,4,'📋 Saisie des données'!J4:J1000,"Medical Treatment")</f>
        <v>0</v>
      </c>
      <c r="Z5" s="1" t="n">
        <f aca="false">COUNTIFS('📋 Saisie des données'!E4:E1000,$C$4,'📋 Saisie des données'!F4:F1000,4,'📋 Saisie des données'!J4:J1000,"Lost Time")</f>
        <v>0</v>
      </c>
      <c r="AB5" s="1" t="s">
        <v>205</v>
      </c>
      <c r="AC5" s="1" t="n">
        <f aca="false">COUNTIF('📋 Saisie des données'!T4:T1000,"Contact with sharp edge")</f>
        <v>1</v>
      </c>
      <c r="AE5" s="1" t="s">
        <v>408</v>
      </c>
      <c r="AF5" s="1" t="n">
        <f aca="false">COUNTIF('📋 Saisie des données'!AA4:AA1000,"Training not provided")</f>
        <v>0</v>
      </c>
      <c r="AH5" s="1" t="s">
        <v>409</v>
      </c>
      <c r="AI5" s="1" t="n">
        <f aca="false">COUNTIF('📋 Saisie des données'!M4:M1000,"Quality")</f>
        <v>0</v>
      </c>
    </row>
    <row r="6" customFormat="false" ht="15" hidden="false" customHeight="true" outlineLevel="0" collapsed="false">
      <c r="V6" s="1" t="s">
        <v>410</v>
      </c>
      <c r="W6" s="1" t="n">
        <f aca="false">COUNTIFS('📋 Saisie des données'!E4:E1000,$C$4,'📋 Saisie des données'!F4:F1000,5,'📋 Saisie des données'!J4:J1000,"Near Miss")</f>
        <v>0</v>
      </c>
      <c r="X6" s="1" t="n">
        <f aca="false">COUNTIFS('📋 Saisie des données'!E4:E1000,$C$4,'📋 Saisie des données'!F4:F1000,5,'📋 Saisie des données'!J4:J1000,"First Aid")</f>
        <v>0</v>
      </c>
      <c r="Y6" s="1" t="n">
        <f aca="false">COUNTIFS('📋 Saisie des données'!E4:E1000,$C$4,'📋 Saisie des données'!F4:F1000,5,'📋 Saisie des données'!J4:J1000,"Medical Treatment")</f>
        <v>0</v>
      </c>
      <c r="Z6" s="1" t="n">
        <f aca="false">COUNTIFS('📋 Saisie des données'!E4:E1000,$C$4,'📋 Saisie des données'!F4:F1000,5,'📋 Saisie des données'!J4:J1000,"Lost Time")</f>
        <v>0</v>
      </c>
      <c r="AB6" s="1" t="s">
        <v>411</v>
      </c>
      <c r="AC6" s="1" t="n">
        <f aca="false">COUNTIF('📋 Saisie des données'!T4:T1000,"Contact with hot surface")</f>
        <v>0</v>
      </c>
      <c r="AE6" s="1" t="s">
        <v>412</v>
      </c>
      <c r="AF6" s="1" t="n">
        <f aca="false">COUNTIF('📋 Saisie des données'!AA4:AA1000,"Training inadequate")</f>
        <v>0</v>
      </c>
      <c r="AH6" s="1" t="s">
        <v>413</v>
      </c>
      <c r="AI6" s="1" t="n">
        <f aca="false">COUNTIF('📋 Saisie des données'!M4:M1000,"Engineering")</f>
        <v>0</v>
      </c>
    </row>
    <row r="7" customFormat="false" ht="15" hidden="false" customHeight="true" outlineLevel="0" collapsed="false">
      <c r="V7" s="1" t="s">
        <v>414</v>
      </c>
      <c r="W7" s="1" t="n">
        <f aca="false">COUNTIFS('📋 Saisie des données'!E4:E1000,$C$4,'📋 Saisie des données'!F4:F1000,6,'📋 Saisie des données'!J4:J1000,"Near Miss")</f>
        <v>0</v>
      </c>
      <c r="X7" s="1" t="n">
        <f aca="false">COUNTIFS('📋 Saisie des données'!E4:E1000,$C$4,'📋 Saisie des données'!F4:F1000,6,'📋 Saisie des données'!J4:J1000,"First Aid")</f>
        <v>0</v>
      </c>
      <c r="Y7" s="1" t="n">
        <f aca="false">COUNTIFS('📋 Saisie des données'!E4:E1000,$C$4,'📋 Saisie des données'!F4:F1000,6,'📋 Saisie des données'!J4:J1000,"Medical Treatment")</f>
        <v>0</v>
      </c>
      <c r="Z7" s="1" t="n">
        <f aca="false">COUNTIFS('📋 Saisie des données'!E4:E1000,$C$4,'📋 Saisie des données'!F4:F1000,6,'📋 Saisie des données'!J4:J1000,"Lost Time")</f>
        <v>0</v>
      </c>
      <c r="AB7" s="1" t="s">
        <v>415</v>
      </c>
      <c r="AC7" s="1" t="n">
        <f aca="false">COUNTIF('📋 Saisie des données'!T4:T1000,"Caught in / between")</f>
        <v>0</v>
      </c>
      <c r="AE7" s="1" t="s">
        <v>416</v>
      </c>
      <c r="AF7" s="1" t="n">
        <f aca="false">COUNTIF('📋 Saisie des données'!AA4:AA1000,"Supervision inadequate")</f>
        <v>0</v>
      </c>
      <c r="AH7" s="1" t="s">
        <v>417</v>
      </c>
      <c r="AI7" s="1" t="n">
        <f aca="false">COUNTIF('📋 Saisie des données'!M4:M1000,"Office / Admin")</f>
        <v>0</v>
      </c>
    </row>
    <row r="8" customFormat="false" ht="15" hidden="false" customHeight="true" outlineLevel="0" collapsed="false">
      <c r="V8" s="1" t="s">
        <v>418</v>
      </c>
      <c r="W8" s="1" t="n">
        <f aca="false">COUNTIFS('📋 Saisie des données'!E4:E1000,$C$4,'📋 Saisie des données'!F4:F1000,7,'📋 Saisie des données'!J4:J1000,"Near Miss")</f>
        <v>0</v>
      </c>
      <c r="X8" s="1" t="n">
        <f aca="false">COUNTIFS('📋 Saisie des données'!E4:E1000,$C$4,'📋 Saisie des données'!F4:F1000,7,'📋 Saisie des données'!J4:J1000,"First Aid")</f>
        <v>0</v>
      </c>
      <c r="Y8" s="1" t="n">
        <f aca="false">COUNTIFS('📋 Saisie des données'!E4:E1000,$C$4,'📋 Saisie des données'!F4:F1000,7,'📋 Saisie des données'!J4:J1000,"Medical Treatment")</f>
        <v>0</v>
      </c>
      <c r="Z8" s="1" t="n">
        <f aca="false">COUNTIFS('📋 Saisie des données'!E4:E1000,$C$4,'📋 Saisie des données'!F4:F1000,7,'📋 Saisie des données'!J4:J1000,"Lost Time")</f>
        <v>0</v>
      </c>
      <c r="AB8" s="1" t="s">
        <v>108</v>
      </c>
      <c r="AC8" s="1" t="n">
        <f aca="false">COUNTIF('📋 Saisie des données'!T4:T1000,"Slip/Trip/Fall — same level")</f>
        <v>1</v>
      </c>
      <c r="AE8" s="1" t="s">
        <v>419</v>
      </c>
      <c r="AF8" s="1" t="n">
        <f aca="false">COUNTIF('📋 Saisie des données'!AA4:AA1000,"Maintenance not performed")</f>
        <v>0</v>
      </c>
      <c r="AH8" s="1" t="s">
        <v>300</v>
      </c>
      <c r="AI8" s="1" t="n">
        <f aca="false">COUNTIF('📋 Saisie des données'!M4:M1000,"Facilities")</f>
        <v>0</v>
      </c>
    </row>
    <row r="9" customFormat="false" ht="15" hidden="false" customHeight="true" outlineLevel="0" collapsed="false">
      <c r="V9" s="1" t="s">
        <v>420</v>
      </c>
      <c r="W9" s="1" t="n">
        <f aca="false">COUNTIFS('📋 Saisie des données'!E4:E1000,$C$4,'📋 Saisie des données'!F4:F1000,8,'📋 Saisie des données'!J4:J1000,"Near Miss")</f>
        <v>0</v>
      </c>
      <c r="X9" s="1" t="n">
        <f aca="false">COUNTIFS('📋 Saisie des données'!E4:E1000,$C$4,'📋 Saisie des données'!F4:F1000,8,'📋 Saisie des données'!J4:J1000,"First Aid")</f>
        <v>0</v>
      </c>
      <c r="Y9" s="1" t="n">
        <f aca="false">COUNTIFS('📋 Saisie des données'!E4:E1000,$C$4,'📋 Saisie des données'!F4:F1000,8,'📋 Saisie des données'!J4:J1000,"Medical Treatment")</f>
        <v>0</v>
      </c>
      <c r="Z9" s="1" t="n">
        <f aca="false">COUNTIFS('📋 Saisie des données'!E4:E1000,$C$4,'📋 Saisie des données'!F4:F1000,8,'📋 Saisie des données'!J4:J1000,"Lost Time")</f>
        <v>0</v>
      </c>
      <c r="AB9" s="1" t="s">
        <v>162</v>
      </c>
      <c r="AC9" s="1" t="n">
        <f aca="false">COUNTIF('📋 Saisie des données'!T4:T1000,"Fall from height")</f>
        <v>1</v>
      </c>
      <c r="AE9" s="1" t="s">
        <v>421</v>
      </c>
      <c r="AF9" s="1" t="n">
        <f aca="false">COUNTIF('📋 Saisie des données'!AA4:AA1000,"Equipment failure / defect")</f>
        <v>0</v>
      </c>
      <c r="AH9" s="1" t="s">
        <v>422</v>
      </c>
      <c r="AI9" s="1" t="n">
        <f aca="false">COUNTIF('📋 Saisie des données'!M4:M1000,"External Contractor")</f>
        <v>0</v>
      </c>
    </row>
    <row r="10" customFormat="false" ht="15" hidden="false" customHeight="true" outlineLevel="0" collapsed="false">
      <c r="V10" s="1" t="s">
        <v>423</v>
      </c>
      <c r="W10" s="1" t="n">
        <f aca="false">COUNTIFS('📋 Saisie des données'!E4:E1000,$C$4,'📋 Saisie des données'!F4:F1000,9,'📋 Saisie des données'!J4:J1000,"Near Miss")</f>
        <v>0</v>
      </c>
      <c r="X10" s="1" t="n">
        <f aca="false">COUNTIFS('📋 Saisie des données'!E4:E1000,$C$4,'📋 Saisie des données'!F4:F1000,9,'📋 Saisie des données'!J4:J1000,"First Aid")</f>
        <v>0</v>
      </c>
      <c r="Y10" s="1" t="n">
        <f aca="false">COUNTIFS('📋 Saisie des données'!E4:E1000,$C$4,'📋 Saisie des données'!F4:F1000,9,'📋 Saisie des données'!J4:J1000,"Medical Treatment")</f>
        <v>0</v>
      </c>
      <c r="Z10" s="1" t="n">
        <f aca="false">COUNTIFS('📋 Saisie des données'!E4:E1000,$C$4,'📋 Saisie des données'!F4:F1000,9,'📋 Saisie des données'!J4:J1000,"Lost Time")</f>
        <v>0</v>
      </c>
      <c r="AB10" s="1" t="s">
        <v>424</v>
      </c>
      <c r="AC10" s="1" t="n">
        <f aca="false">COUNTIF('📋 Saisie des données'!T4:T1000,"Overexertion / ergonomic")</f>
        <v>0</v>
      </c>
      <c r="AE10" s="1" t="s">
        <v>425</v>
      </c>
      <c r="AF10" s="1" t="n">
        <f aca="false">COUNTIF('📋 Saisie des données'!AA4:AA1000,"Guarding inadequate or absent")</f>
        <v>0</v>
      </c>
    </row>
    <row r="11" customFormat="false" ht="15" hidden="false" customHeight="true" outlineLevel="0" collapsed="false">
      <c r="V11" s="1" t="s">
        <v>426</v>
      </c>
      <c r="W11" s="1" t="n">
        <f aca="false">COUNTIFS('📋 Saisie des données'!E4:E1000,$C$4,'📋 Saisie des données'!F4:F1000,10,'📋 Saisie des données'!J4:J1000,"Near Miss")</f>
        <v>0</v>
      </c>
      <c r="X11" s="1" t="n">
        <f aca="false">COUNTIFS('📋 Saisie des données'!E4:E1000,$C$4,'📋 Saisie des données'!F4:F1000,10,'📋 Saisie des données'!J4:J1000,"First Aid")</f>
        <v>0</v>
      </c>
      <c r="Y11" s="1" t="n">
        <f aca="false">COUNTIFS('📋 Saisie des données'!E4:E1000,$C$4,'📋 Saisie des données'!F4:F1000,10,'📋 Saisie des données'!J4:J1000,"Medical Treatment")</f>
        <v>0</v>
      </c>
      <c r="Z11" s="1" t="n">
        <f aca="false">COUNTIFS('📋 Saisie des données'!E4:E1000,$C$4,'📋 Saisie des données'!F4:F1000,10,'📋 Saisie des données'!J4:J1000,"Lost Time")</f>
        <v>0</v>
      </c>
      <c r="AB11" s="1" t="s">
        <v>145</v>
      </c>
      <c r="AC11" s="1" t="n">
        <f aca="false">COUNTIF('📋 Saisie des données'!T4:T1000,"Exposure to substance")</f>
        <v>1</v>
      </c>
      <c r="AE11" s="1" t="s">
        <v>427</v>
      </c>
      <c r="AF11" s="1" t="n">
        <f aca="false">COUNTIF('📋 Saisie des données'!AA4:AA1000,"LOTO not applied")</f>
        <v>0</v>
      </c>
    </row>
    <row r="12" customFormat="false" ht="15" hidden="false" customHeight="true" outlineLevel="0" collapsed="false">
      <c r="V12" s="1" t="s">
        <v>428</v>
      </c>
      <c r="W12" s="1" t="n">
        <f aca="false">COUNTIFS('📋 Saisie des données'!E4:E1000,$C$4,'📋 Saisie des données'!F4:F1000,11,'📋 Saisie des données'!J4:J1000,"Near Miss")</f>
        <v>0</v>
      </c>
      <c r="X12" s="1" t="n">
        <f aca="false">COUNTIFS('📋 Saisie des données'!E4:E1000,$C$4,'📋 Saisie des données'!F4:F1000,11,'📋 Saisie des données'!J4:J1000,"First Aid")</f>
        <v>0</v>
      </c>
      <c r="Y12" s="1" t="n">
        <f aca="false">COUNTIFS('📋 Saisie des données'!E4:E1000,$C$4,'📋 Saisie des données'!F4:F1000,11,'📋 Saisie des données'!J4:J1000,"Medical Treatment")</f>
        <v>0</v>
      </c>
      <c r="Z12" s="1" t="n">
        <f aca="false">COUNTIFS('📋 Saisie des données'!E4:E1000,$C$4,'📋 Saisie des données'!F4:F1000,11,'📋 Saisie des données'!J4:J1000,"Lost Time")</f>
        <v>0</v>
      </c>
      <c r="AB12" s="1" t="s">
        <v>129</v>
      </c>
      <c r="AC12" s="1" t="n">
        <f aca="false">COUNTIF('📋 Saisie des données'!T4:T1000,"Exposure to energy / LOTO failure")</f>
        <v>2</v>
      </c>
      <c r="AE12" s="1" t="s">
        <v>429</v>
      </c>
      <c r="AF12" s="1" t="n">
        <f aca="false">COUNTIF('📋 Saisie des données'!AA4:AA1000,"PPE not worn")</f>
        <v>0</v>
      </c>
    </row>
    <row r="13" customFormat="false" ht="15" hidden="false" customHeight="true" outlineLevel="0" collapsed="false">
      <c r="V13" s="1" t="s">
        <v>430</v>
      </c>
      <c r="W13" s="1" t="n">
        <f aca="false">COUNTIFS('📋 Saisie des données'!E4:E1000,$C$4,'📋 Saisie des données'!F4:F1000,12,'📋 Saisie des données'!J4:J1000,"Near Miss")</f>
        <v>0</v>
      </c>
      <c r="X13" s="1" t="n">
        <f aca="false">COUNTIFS('📋 Saisie des données'!E4:E1000,$C$4,'📋 Saisie des données'!F4:F1000,12,'📋 Saisie des données'!J4:J1000,"First Aid")</f>
        <v>0</v>
      </c>
      <c r="Y13" s="1" t="n">
        <f aca="false">COUNTIFS('📋 Saisie des données'!E4:E1000,$C$4,'📋 Saisie des données'!F4:F1000,12,'📋 Saisie des données'!J4:J1000,"Medical Treatment")</f>
        <v>0</v>
      </c>
      <c r="Z13" s="1" t="n">
        <f aca="false">COUNTIFS('📋 Saisie des données'!E4:E1000,$C$4,'📋 Saisie des données'!F4:F1000,12,'📋 Saisie des données'!J4:J1000,"Lost Time")</f>
        <v>0</v>
      </c>
      <c r="AB13" s="1" t="s">
        <v>431</v>
      </c>
      <c r="AC13" s="1" t="n">
        <f aca="false">COUNTIF('📋 Saisie des données'!T4:T1000,"Other")</f>
        <v>0</v>
      </c>
      <c r="AE13" s="1" t="s">
        <v>432</v>
      </c>
      <c r="AF13" s="1" t="n">
        <f aca="false">COUNTIF('📋 Saisie des données'!AA4:AA1000,"Inspection gap")</f>
        <v>0</v>
      </c>
    </row>
    <row r="14" customFormat="false" ht="15" hidden="false" customHeight="true" outlineLevel="0" collapsed="false">
      <c r="AE14" s="1" t="s">
        <v>433</v>
      </c>
      <c r="AF14" s="1" t="n">
        <f aca="false">COUNTIF('📋 Saisie des données'!AA4:AA1000,"New worker / unfamiliar with task")</f>
        <v>0</v>
      </c>
    </row>
    <row r="15" customFormat="false" ht="15" hidden="false" customHeight="true" outlineLevel="0" collapsed="false">
      <c r="AE15" s="1" t="s">
        <v>431</v>
      </c>
      <c r="AF15" s="1" t="n">
        <f aca="false">COUNTIF('📋 Saisie des données'!AA4:AA1000,"Other")</f>
        <v>0</v>
      </c>
    </row>
  </sheetData>
  <mergeCells count="1">
    <mergeCell ref="B1:T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2026-03-15T21:51:25Z</dcterms:created>
  <dc:creator>openpyxl</dc:creator>
  <dc:description/>
  <dc:language>en-US</dc:language>
  <cp:lastModifiedBy/>
  <dcterms:modified xsi:type="dcterms:W3CDTF">2026-03-15T22:10:53Z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
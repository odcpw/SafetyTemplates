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13573973d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🛈 Mode d'emploi" sheetId="1" r:id="R055502d0e67c423d"/>
    <x:sheet xmlns:r="http://schemas.openxmlformats.org/officeDocument/2006/relationships" name="📋 Saisie des données" sheetId="2" r:id="R6925f13072864c24"/>
    <x:sheet xmlns:r="http://schemas.openxmlformats.org/officeDocument/2006/relationships" name="🔖 Listes de choix" sheetId="3" r:id="Rb887b24d7314458f"/>
    <x:sheet xmlns:r="http://schemas.openxmlformats.org/officeDocument/2006/relationships" name="📈 Indicateurs" sheetId="4" r:id="R5354e5cb2c7e459c"/>
    <x:sheet xmlns:r="http://schemas.openxmlformats.org/officeDocument/2006/relationships" name="📊 Tableau de bord" sheetId="5" r:id="Raea721f89c534616"/>
  </x:sheets>
  <x:definedNames>
    <x:definedName name="Register_A_Choices">'🔖 Listes de choix'!A3:A7</x:definedName>
    <x:definedName name="Register_B_Choices">'🔖 Listes de choix'!B3:B6</x:definedName>
    <x:definedName name="Register_C_Choices">'🔖 Listes de choix'!C3:C18</x:definedName>
    <x:definedName name="Register_D_Choices">'🔖 Listes de choix'!D3:D24</x:definedName>
    <x:definedName name="Register_E_Choices">'🔖 Listes de choix'!E3:E21</x:definedName>
    <x:definedName name="Register_F_Choices">'🔖 Listes de choix'!F3:F23</x:definedName>
    <x:definedName name="Register_G_Choices">'🔖 Listes de choix'!G3:G6</x:definedName>
    <x:definedName name="Register_H_Choices">'🔖 Listes de choix'!H3:H7</x:definedName>
    <x:definedName name="Register_I_Choices">'🔖 Listes de choix'!I3:I4</x:definedName>
    <x:definedName name="Register_J_Choices">'🔖 Listes de choix'!J3:J4</x:definedName>
    <x:definedName name="Register_K_Choices">'🔖 Listes de choix'!K3:K5</x:definedName>
    <x:definedName name="Register_L_Choices">'🔖 Listes de choix'!L3:L5</x:definedName>
    <x:definedName name="Register_M_Choices">'🔖 Listes de choix'!M3:M5</x:definedName>
    <x:definedName name="Register_N_Choices">'🔖 Listes de choix'!N3:N4</x:definedName>
    <x:definedName name="Register_O_Choices">'🔖 Listes de choix'!O3:O28</x:definedName>
    <x:definedName name="Register_P_Choices">'🔖 Listes de choix'!P3:P13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General"/>
    <x:numFmt numFmtId="165" formatCode="dd\.mm\.yyyy"/>
    <x:numFmt numFmtId="166" formatCode="#,##0"/>
    <x:numFmt numFmtId="167" formatCode="0.00"/>
    <x:numFmt numFmtId="168" formatCode="0%"/>
    <x:numFmt numFmtId="200" formatCode="0"/>
    <x:numFmt numFmtId="201" formatCode="0.0%"/>
  </x:numFmts>
  <x:fonts count="20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i/>
      <x:sz val="10"/>
      <x:color rgb="FF595959"/>
      <x:name val="Arial"/>
    </x:font>
    <x:font>
      <x:b/>
      <x:sz val="11"/>
      <x:color rgb="FFFFFFFF"/>
      <x:name val="Arial"/>
    </x:font>
    <x:font>
      <x:b/>
      <x:sz val="10"/>
      <x:color rgb="FF2D2D2D"/>
      <x:name val="Arial"/>
    </x:font>
    <x:font>
      <x:sz val="10"/>
      <x:color rgb="FF2D2D2D"/>
      <x:name val="Arial"/>
    </x:font>
    <x:font>
      <x:b/>
      <x:sz val="13"/>
      <x:color rgb="FFFFFFFF"/>
      <x:name val="Arial"/>
    </x:font>
    <x:font>
      <x:i/>
      <x:sz val="9"/>
      <x:color rgb="FF595959"/>
      <x:name val="Arial"/>
    </x:font>
    <x:font>
      <x:b/>
      <x:sz val="10"/>
      <x:color rgb="FFFFFFFF"/>
      <x:name val="Arial"/>
    </x:font>
    <x:font>
      <x:b/>
      <x:sz val="11"/>
      <x:name val="Arial"/>
    </x:font>
    <x:font>
      <x:b/>
      <x:sz val="11"/>
      <x:color rgb="FF0000FF"/>
      <x:name val="Arial"/>
    </x:font>
    <x:font>
      <x:b/>
      <x:sz val="10"/>
      <x:name val="Arial"/>
    </x:font>
    <x:font>
      <x:sz val="10"/>
      <x:name val="Arial"/>
    </x:font>
    <x:font>
      <x:sz val="9"/>
      <x:color rgb="FF1F497D"/>
      <x:name val="Arial"/>
    </x:font>
    <x:font>
      <x:b/>
      <x:sz val="18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E8670A"/>
      </x:patternFill>
    </x:fill>
    <x:fill>
      <x:patternFill patternType="solid">
        <x:fgColor rgb="FFFAD7BC"/>
      </x:patternFill>
    </x:fill>
    <x:fill>
      <x:patternFill patternType="solid">
        <x:fgColor rgb="FF4A4A4A"/>
      </x:patternFill>
    </x:fill>
    <x:fill>
      <x:patternFill patternType="solid">
        <x:fgColor rgb="FFF2F2F2"/>
      </x:patternFill>
    </x:fill>
    <x:fill>
      <x:patternFill patternType="solid">
        <x:fgColor rgb="FFFFF8F0"/>
      </x:patternFill>
    </x:fill>
    <x:fill>
      <x:patternFill patternType="solid">
        <x:fgColor rgb="FFFFFFFF"/>
      </x:patternFill>
    </x:fill>
    <x:fill>
      <x:patternFill patternType="solid">
        <x:fgColor rgb="FFF4CCCC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 diagonalUp="0" diagonalDown="0">
      <x:left/>
      <x:right/>
      <x:top/>
      <x:bottom/>
      <x:diagonal/>
    </x:border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02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1" applyProtection="0">
      <x:alignment horizontal="general" vertical="bottom" wrapText="0" shrinkToFit="0"/>
      <x:protection locked="1" hidden="0"/>
    </x:xf>
    <x:xf numFmtId="164" fontId="4" fillId="2" borderId="0" xfId="0" applyFont="1" applyBorder="1" applyAlignment="1" applyProtection="0">
      <x:alignment horizontal="center" vertical="center" wrapText="0" shrinkToFit="0"/>
      <x:protection locked="1" hidden="0"/>
    </x:xf>
    <x:xf numFmtId="164" fontId="5" fillId="3" borderId="0" xfId="0" applyFont="1" applyBorder="1" applyAlignment="1" applyProtection="0">
      <x:alignment horizontal="center" vertical="bottom" wrapText="0" shrinkToFit="0"/>
      <x:protection locked="1" hidden="0"/>
    </x:xf>
    <x:xf numFmtId="164" fontId="6" fillId="4" borderId="0" xfId="0" applyFont="1" applyBorder="1" applyAlignment="1" applyProtection="0">
      <x:alignment horizontal="left" vertical="bottom" wrapText="0" shrinkToFit="0"/>
      <x:protection locked="1" hidden="0"/>
    </x:xf>
    <x:xf numFmtId="164" fontId="7" fillId="5" borderId="0" xfId="0" applyFont="1" applyBorder="0" applyAlignment="1" applyProtection="0">
      <x:alignment horizontal="general" vertical="center" wrapText="1" shrinkToFit="0"/>
      <x:protection locked="1" hidden="0"/>
    </x:xf>
    <x:xf numFmtId="164" fontId="8" fillId="0" borderId="0" xfId="0" applyFont="1" applyBorder="0" applyAlignment="1" applyProtection="0">
      <x:alignment horizontal="general" vertical="center" wrapText="1" shrinkToFit="0"/>
      <x:protection locked="1" hidden="0"/>
    </x:xf>
    <x:xf numFmtId="164" fontId="9" fillId="2" borderId="0" xfId="0" applyFont="1" applyBorder="1" applyAlignment="1" applyProtection="0">
      <x:alignment horizontal="center" vertical="center" wrapText="0" shrinkToFit="0"/>
      <x:protection locked="1" hidden="0"/>
    </x:xf>
    <x:xf numFmtId="164" fontId="10" fillId="6" borderId="0" xfId="0" applyFont="1" applyBorder="1" applyAlignment="1" applyProtection="0">
      <x:alignment horizontal="left" vertical="center" wrapText="0" shrinkToFit="0"/>
      <x:protection locked="1" hidden="0"/>
    </x:xf>
    <x:xf numFmtId="164" fontId="11" fillId="4" borderId="1" xfId="0" applyFont="1" applyBorder="1" applyAlignment="1" applyProtection="0">
      <x:alignment horizontal="center" vertical="center" wrapText="1" shrinkToFit="0"/>
      <x:protection locked="1" hidden="0"/>
    </x:xf>
    <x:xf numFmtId="164" fontId="8" fillId="7" borderId="1" xfId="0" applyFont="1" applyBorder="1" applyAlignment="1" applyProtection="0">
      <x:alignment horizontal="general" vertical="center" wrapText="0" shrinkToFit="0"/>
      <x:protection locked="1" hidden="0"/>
    </x:xf>
    <x:xf numFmtId="165" fontId="8" fillId="7" borderId="1" xfId="0" applyFont="1" applyBorder="1" applyAlignment="1" applyProtection="0">
      <x:alignment horizontal="general" vertical="center" wrapText="0" shrinkToFit="0"/>
      <x:protection locked="1" hidden="0"/>
    </x:xf>
    <x:xf numFmtId="164" fontId="7" fillId="8" borderId="1" xfId="0" applyFont="1" applyBorder="1" applyAlignment="1" applyProtection="0">
      <x:alignment horizontal="general" vertical="center" wrapText="0" shrinkToFit="0"/>
      <x:protection locked="1" hidden="0"/>
    </x:xf>
    <x:xf numFmtId="164" fontId="8" fillId="7" borderId="1" xfId="0" applyFont="1" applyBorder="1" applyAlignment="1" applyProtection="0">
      <x:alignment horizontal="general" vertical="center" wrapText="1" shrinkToFit="0"/>
      <x:protection locked="1" hidden="0"/>
    </x:xf>
    <x:xf numFmtId="164" fontId="8" fillId="5" borderId="1" xfId="0" applyFont="1" applyBorder="1" applyAlignment="1" applyProtection="0">
      <x:alignment horizontal="general" vertical="center" wrapText="0" shrinkToFit="0"/>
      <x:protection locked="1" hidden="0"/>
    </x:xf>
    <x:xf numFmtId="165" fontId="8" fillId="5" borderId="1" xfId="0" applyFont="1" applyBorder="1" applyAlignment="1" applyProtection="0">
      <x:alignment horizontal="general" vertical="center" wrapText="0" shrinkToFit="0"/>
      <x:protection locked="1" hidden="0"/>
    </x:xf>
    <x:xf numFmtId="164" fontId="7" fillId="9" borderId="1" xfId="0" applyFont="1" applyBorder="1" applyAlignment="1" applyProtection="0">
      <x:alignment horizontal="general" vertical="center" wrapText="0" shrinkToFit="0"/>
      <x:protection locked="1" hidden="0"/>
    </x:xf>
    <x:xf numFmtId="164" fontId="8" fillId="5" borderId="1" xfId="0" applyFont="1" applyBorder="1" applyAlignment="1" applyProtection="0">
      <x:alignment horizontal="general" vertical="center" wrapText="1" shrinkToFit="0"/>
      <x:protection locked="1" hidden="0"/>
    </x:xf>
    <x:xf numFmtId="164" fontId="8" fillId="10" borderId="1" xfId="0" applyFont="1" applyBorder="1" applyAlignment="1" applyProtection="0">
      <x:alignment horizontal="general" vertical="center" wrapText="0" shrinkToFit="0"/>
      <x:protection locked="1" hidden="0"/>
    </x:xf>
    <x:xf numFmtId="165" fontId="8" fillId="10" borderId="1" xfId="0" applyFont="1" applyBorder="1" applyAlignment="1" applyProtection="0">
      <x:alignment horizontal="general" vertical="center" wrapText="0" shrinkToFit="0"/>
      <x:protection locked="1" hidden="0"/>
    </x:xf>
    <x:xf numFmtId="164" fontId="7" fillId="10" borderId="1" xfId="0" applyFont="1" applyBorder="1" applyAlignment="1" applyProtection="0">
      <x:alignment horizontal="general" vertical="center" wrapText="0" shrinkToFit="0"/>
      <x:protection locked="1" hidden="0"/>
    </x:xf>
    <x:xf numFmtId="164" fontId="8" fillId="10" borderId="1" xfId="0" applyFont="1" applyBorder="1" applyAlignment="1" applyProtection="0">
      <x:alignment horizontal="general" vertical="center" wrapText="1" shrinkToFit="0"/>
      <x:protection locked="1" hidden="0"/>
    </x:xf>
    <x:xf numFmtId="164" fontId="7" fillId="11" borderId="1" xfId="0" applyFont="1" applyBorder="1" applyAlignment="1" applyProtection="0">
      <x:alignment horizontal="general" vertical="center" wrapText="0" shrinkToFit="0"/>
      <x:protection locked="1" hidden="0"/>
    </x:xf>
    <x:xf numFmtId="164" fontId="6" fillId="4" borderId="0" xfId="0" applyFont="1" applyBorder="1" applyAlignment="1" applyProtection="0">
      <x:alignment horizontal="center" vertical="center" wrapText="0" shrinkToFit="0"/>
      <x:protection locked="1" hidden="0"/>
    </x:xf>
    <x:xf numFmtId="164" fontId="11" fillId="2" borderId="1" xfId="0" applyFont="1" applyBorder="1" applyAlignment="1" applyProtection="0">
      <x:alignment horizontal="center" vertical="center" wrapText="0" shrinkToFit="0"/>
      <x:protection locked="1" hidden="0"/>
    </x:xf>
    <x:xf numFmtId="164" fontId="8" fillId="7" borderId="1" xfId="0" applyFont="1" applyBorder="1" applyAlignment="1" applyProtection="0">
      <x:alignment horizontal="left" vertical="bottom" wrapText="0" shrinkToFit="0"/>
      <x:protection locked="1" hidden="0"/>
    </x:xf>
    <x:xf numFmtId="164" fontId="8" fillId="5" borderId="1" xfId="0" applyFont="1" applyBorder="1" applyAlignment="1" applyProtection="0">
      <x:alignment horizontal="left" vertical="bottom" wrapText="0" shrinkToFit="0"/>
      <x:protection locked="1" hidden="0"/>
    </x:xf>
    <x:xf numFmtId="164" fontId="12" fillId="0" borderId="0" xfId="0" applyFont="1" applyBorder="0" applyAlignment="1" applyProtection="0">
      <x:alignment horizontal="general" vertical="bottom" wrapText="0" shrinkToFit="0"/>
      <x:protection locked="1" hidden="0"/>
    </x:xf>
    <x:xf numFmtId="166" fontId="13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5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13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11" fillId="4" borderId="1" xfId="0" applyFont="1" applyBorder="1" applyAlignment="1" applyProtection="0">
      <x:alignment horizontal="center" vertical="center" wrapText="0" shrinkToFit="0"/>
      <x:protection locked="1" hidden="0"/>
    </x:xf>
    <x:xf numFmtId="164" fontId="14" fillId="7" borderId="1" xfId="0" applyFont="1" applyBorder="1" applyAlignment="1" applyProtection="0">
      <x:alignment horizontal="general" vertical="bottom" wrapText="0" shrinkToFit="0"/>
      <x:protection locked="1" hidden="0"/>
    </x:xf>
    <x:xf numFmtId="164" fontId="15" fillId="0" borderId="1" xfId="0" applyFont="1" applyBorder="1" applyAlignment="1" applyProtection="0">
      <x:alignment horizontal="center" vertical="bottom" wrapText="0" shrinkToFit="0"/>
      <x:protection locked="1" hidden="0"/>
    </x:xf>
    <x:xf numFmtId="164" fontId="10" fillId="0" borderId="1" xfId="0" applyFont="1" applyBorder="1" applyAlignment="1" applyProtection="0">
      <x:alignment horizontal="general" vertical="center" wrapText="1" shrinkToFit="0"/>
      <x:protection locked="1" hidden="0"/>
    </x:xf>
    <x:xf numFmtId="164" fontId="16" fillId="7" borderId="1" xfId="0" applyFont="1" applyBorder="1" applyAlignment="1" applyProtection="0">
      <x:alignment horizontal="general" vertical="center" wrapText="1" shrinkToFit="0"/>
      <x:protection locked="1" hidden="0"/>
    </x:xf>
    <x:xf numFmtId="164" fontId="14" fillId="5" borderId="1" xfId="0" applyFont="1" applyBorder="1" applyAlignment="1" applyProtection="0">
      <x:alignment horizontal="general" vertical="bottom" wrapText="0" shrinkToFit="0"/>
      <x:protection locked="1" hidden="0"/>
    </x:xf>
    <x:xf numFmtId="164" fontId="16" fillId="5" borderId="1" xfId="0" applyFont="1" applyBorder="1" applyAlignment="1" applyProtection="0">
      <x:alignment horizontal="general" vertical="center" wrapText="1" shrinkToFit="0"/>
      <x:protection locked="1" hidden="0"/>
    </x:xf>
    <x:xf numFmtId="167" fontId="15" fillId="0" borderId="1" xfId="0" applyFont="1" applyBorder="1" applyAlignment="1" applyProtection="0">
      <x:alignment horizontal="center" vertical="bottom" wrapText="0" shrinkToFit="0"/>
      <x:protection locked="1" hidden="0"/>
    </x:xf>
    <x:xf numFmtId="168" fontId="15" fillId="0" borderId="1" xfId="0" applyFont="1" applyBorder="1" applyAlignment="1" applyProtection="0">
      <x:alignment horizontal="center" vertical="bottom" wrapText="0" shrinkToFit="0"/>
      <x:protection locked="1" hidden="0"/>
    </x:xf>
    <x:xf numFmtId="168" fontId="0" fillId="0" borderId="0" xfId="0" applyFont="0" applyBorder="0" applyAlignment="1" applyProtection="0">
      <x:alignment horizontal="general" vertical="bottom" wrapText="0" shrinkToFit="0"/>
      <x:protection locked="1" hidden="0"/>
    </x:xf>
    <x:xf numFmtId="164" fontId="10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8" fillId="0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6" fillId="4" borderId="0" xfId="0" applyNumberFormat="1" applyFont="1" applyFill="1" applyBorder="1" applyAlignment="1">
      <x:alignment horizontal="left" vertical="bottom" wrapText="1"/>
    </x:xf>
    <x:xf numFmtId="165" fontId="8" fillId="7" borderId="1" xfId="0" applyNumberFormat="1" applyFont="1" applyFill="1" applyBorder="1" applyAlignment="1">
      <x:alignment horizontal="general" vertical="center" wrapText="0"/>
    </x:xf>
    <x:xf numFmtId="165" fontId="8" fillId="5" borderId="1" xfId="0" applyNumberFormat="1" applyFont="1" applyFill="1" applyBorder="1" applyAlignment="1">
      <x:alignment horizontal="general" vertical="center" wrapText="0"/>
    </x:xf>
    <x:xf numFmtId="165" fontId="8" fillId="10" borderId="1" xfId="0" applyNumberFormat="1" applyFont="1" applyFill="1" applyBorder="1" applyAlignment="1">
      <x:alignment horizontal="general" vertical="center" wrapText="0"/>
    </x:xf>
    <x:xf numFmtId="165" fontId="0" fillId="0" borderId="0" xfId="0" applyNumberFormat="1" applyFont="1" applyFill="1" applyBorder="1" applyAlignment="1">
      <x:alignment horizontal="general" vertical="bottom" wrapText="0"/>
    </x:xf>
    <x:xf numFmtId="164" fontId="11" fillId="4" borderId="1" xfId="0" applyNumberFormat="1" applyFont="1" applyFill="1" applyBorder="1" applyAlignment="1">
      <x:alignment horizontal="center" vertical="center" wrapText="1"/>
    </x:xf>
    <x:xf numFmtId="164" fontId="8" fillId="7" borderId="1" xfId="0" applyNumberFormat="1" applyFont="1" applyFill="1" applyBorder="1" applyAlignment="1">
      <x:alignment horizontal="general" vertical="center" wrapText="0"/>
    </x:xf>
    <x:xf numFmtId="164" fontId="7" fillId="8" borderId="1" xfId="0" applyNumberFormat="1" applyFont="1" applyFill="1" applyBorder="1" applyAlignment="1">
      <x:alignment horizontal="general" vertical="center" wrapText="0"/>
    </x:xf>
    <x:xf numFmtId="164" fontId="8" fillId="5" borderId="1" xfId="0" applyNumberFormat="1" applyFont="1" applyFill="1" applyBorder="1" applyAlignment="1">
      <x:alignment horizontal="general" vertical="center" wrapText="0"/>
    </x:xf>
    <x:xf numFmtId="164" fontId="7" fillId="9" borderId="1" xfId="0" applyNumberFormat="1" applyFont="1" applyFill="1" applyBorder="1" applyAlignment="1">
      <x:alignment horizontal="general" vertical="center" wrapText="0"/>
    </x:xf>
    <x:xf numFmtId="164" fontId="8" fillId="10" borderId="1" xfId="0" applyNumberFormat="1" applyFont="1" applyFill="1" applyBorder="1" applyAlignment="1">
      <x:alignment horizontal="general" vertical="center" wrapText="0"/>
    </x:xf>
    <x:xf numFmtId="164" fontId="7" fillId="10" borderId="1" xfId="0" applyNumberFormat="1" applyFont="1" applyFill="1" applyBorder="1" applyAlignment="1">
      <x:alignment horizontal="general" vertical="center" wrapText="0"/>
    </x:xf>
    <x:xf numFmtId="164" fontId="7" fillId="11" borderId="1" xfId="0" applyNumberFormat="1" applyFont="1" applyFill="1" applyBorder="1" applyAlignment="1">
      <x:alignment horizontal="general" vertical="center" wrapText="0"/>
    </x:xf>
    <x:xf numFmtId="164" fontId="8" fillId="7" borderId="1" xfId="0" applyNumberFormat="1" applyFont="1" applyFill="1" applyBorder="1" applyAlignment="1">
      <x:alignment horizontal="general" vertical="center" wrapText="1"/>
    </x:xf>
    <x:xf numFmtId="165" fontId="8" fillId="7" borderId="1" xfId="0" applyNumberFormat="1" applyFont="1" applyFill="1" applyBorder="1" applyAlignment="1">
      <x:alignment horizontal="general" vertical="center" wrapText="1"/>
    </x:xf>
    <x:xf numFmtId="164" fontId="7" fillId="8" borderId="1" xfId="0" applyNumberFormat="1" applyFont="1" applyFill="1" applyBorder="1" applyAlignment="1">
      <x:alignment horizontal="general" vertical="center" wrapText="1"/>
    </x:xf>
    <x:xf numFmtId="164" fontId="8" fillId="5" borderId="1" xfId="0" applyNumberFormat="1" applyFont="1" applyFill="1" applyBorder="1" applyAlignment="1">
      <x:alignment horizontal="general" vertical="center" wrapText="1"/>
    </x:xf>
    <x:xf numFmtId="165" fontId="8" fillId="5" borderId="1" xfId="0" applyNumberFormat="1" applyFont="1" applyFill="1" applyBorder="1" applyAlignment="1">
      <x:alignment horizontal="general" vertical="center" wrapText="1"/>
    </x:xf>
    <x:xf numFmtId="164" fontId="7" fillId="9" borderId="1" xfId="0" applyNumberFormat="1" applyFont="1" applyFill="1" applyBorder="1" applyAlignment="1">
      <x:alignment horizontal="general" vertical="center" wrapText="1"/>
    </x:xf>
    <x:xf numFmtId="164" fontId="8" fillId="10" borderId="1" xfId="0" applyNumberFormat="1" applyFont="1" applyFill="1" applyBorder="1" applyAlignment="1">
      <x:alignment horizontal="general" vertical="center" wrapText="1"/>
    </x:xf>
    <x:xf numFmtId="165" fontId="8" fillId="10" borderId="1" xfId="0" applyNumberFormat="1" applyFont="1" applyFill="1" applyBorder="1" applyAlignment="1">
      <x:alignment horizontal="general" vertical="center" wrapText="1"/>
    </x:xf>
    <x:xf numFmtId="164" fontId="7" fillId="10" borderId="1" xfId="0" applyNumberFormat="1" applyFont="1" applyFill="1" applyBorder="1" applyAlignment="1">
      <x:alignment horizontal="general" vertical="center" wrapText="1"/>
    </x:xf>
    <x:xf numFmtId="164" fontId="7" fillId="11" borderId="1" xfId="0" applyNumberFormat="1" applyFont="1" applyFill="1" applyBorder="1" applyAlignment="1">
      <x:alignment horizontal="general" vertical="center" wrapText="1"/>
    </x:xf>
    <x:xf numFmtId="165" fontId="0" fillId="0" borderId="0" xfId="0" applyNumberFormat="1" applyFont="1" applyFill="1" applyBorder="1" applyAlignment="1">
      <x:alignment horizontal="general" vertical="bottom" wrapText="1"/>
    </x:xf>
    <x:xf numFmtId="164" fontId="8" fillId="7" borderId="1" xfId="0" applyNumberFormat="1" applyFont="1" applyFill="1" applyBorder="1" applyAlignment="1">
      <x:alignment horizontal="general" vertical="top" wrapText="1"/>
    </x:xf>
    <x:xf numFmtId="165" fontId="8" fillId="7" borderId="1" xfId="0" applyNumberFormat="1" applyFont="1" applyFill="1" applyBorder="1" applyAlignment="1">
      <x:alignment horizontal="general" vertical="top" wrapText="1"/>
    </x:xf>
    <x:xf numFmtId="164" fontId="8" fillId="5" borderId="1" xfId="0" applyNumberFormat="1" applyFont="1" applyFill="1" applyBorder="1" applyAlignment="1">
      <x:alignment horizontal="general" vertical="top" wrapText="1"/>
    </x:xf>
    <x:xf numFmtId="165" fontId="8" fillId="5" borderId="1" xfId="0" applyNumberFormat="1" applyFont="1" applyFill="1" applyBorder="1" applyAlignment="1">
      <x:alignment horizontal="general" vertical="top" wrapText="1"/>
    </x:xf>
    <x:xf numFmtId="164" fontId="8" fillId="10" borderId="1" xfId="0" applyNumberFormat="1" applyFont="1" applyFill="1" applyBorder="1" applyAlignment="1">
      <x:alignment horizontal="general" vertical="top" wrapText="1"/>
    </x:xf>
    <x:xf numFmtId="165" fontId="8" fillId="10" borderId="1" xfId="0" applyNumberFormat="1" applyFont="1" applyFill="1" applyBorder="1" applyAlignment="1">
      <x:alignment horizontal="general" vertical="top" wrapText="1"/>
    </x:xf>
    <x:xf numFmtId="164" fontId="11" fillId="2" borderId="1" xfId="0" applyNumberFormat="1" applyFont="1" applyFill="1" applyBorder="1" applyAlignment="1">
      <x:alignment horizontal="center" vertical="center" wrapText="1"/>
    </x:xf>
    <x:xf numFmtId="164" fontId="8" fillId="12" borderId="1" xfId="0" applyNumberFormat="1" applyFont="1" applyFill="1" applyBorder="1" applyAlignment="1">
      <x:alignment horizontal="general" vertical="center" wrapText="1"/>
    </x:xf>
    <x:xf numFmtId="165" fontId="8" fillId="12" borderId="1" xfId="0" applyNumberFormat="1" applyFont="1" applyFill="1" applyBorder="1" applyAlignment="1">
      <x:alignment horizontal="general" vertical="center" wrapText="1"/>
    </x:xf>
    <x:xf numFmtId="164" fontId="7" fillId="12" borderId="1" xfId="0" applyNumberFormat="1" applyFont="1" applyFill="1" applyBorder="1" applyAlignment="1">
      <x:alignment horizontal="general" vertical="center" wrapText="1"/>
    </x:xf>
    <x:xf numFmtId="164" fontId="8" fillId="12" borderId="1" xfId="0" applyNumberFormat="1" applyFont="1" applyFill="1" applyBorder="1" applyAlignment="1">
      <x:alignment horizontal="general" vertical="top" wrapText="1"/>
    </x:xf>
    <x:xf numFmtId="165" fontId="8" fillId="12" borderId="1" xfId="0" applyNumberFormat="1" applyFont="1" applyFill="1" applyBorder="1" applyAlignment="1">
      <x:alignment horizontal="general" vertical="top" wrapText="1"/>
    </x:xf>
    <x:xf numFmtId="164" fontId="8" fillId="13" borderId="1" xfId="0" applyNumberFormat="1" applyFont="1" applyFill="1" applyBorder="1" applyAlignment="1">
      <x:alignment horizontal="general" vertical="center" wrapText="1"/>
    </x:xf>
    <x:xf numFmtId="165" fontId="8" fillId="13" borderId="1" xfId="0" applyNumberFormat="1" applyFont="1" applyFill="1" applyBorder="1" applyAlignment="1">
      <x:alignment horizontal="general" vertical="center" wrapText="1"/>
    </x:xf>
    <x:xf numFmtId="164" fontId="7" fillId="13" borderId="1" xfId="0" applyNumberFormat="1" applyFont="1" applyFill="1" applyBorder="1" applyAlignment="1">
      <x:alignment horizontal="general" vertical="center" wrapText="1"/>
    </x:xf>
    <x:xf numFmtId="164" fontId="8" fillId="13" borderId="1" xfId="0" applyNumberFormat="1" applyFont="1" applyFill="1" applyBorder="1" applyAlignment="1">
      <x:alignment horizontal="general" vertical="top" wrapText="1"/>
    </x:xf>
    <x:xf numFmtId="165" fontId="8" fillId="13" borderId="1" xfId="0" applyNumberFormat="1" applyFont="1" applyFill="1" applyBorder="1" applyAlignment="1">
      <x:alignment horizontal="general" vertical="top" wrapText="1"/>
    </x:xf>
    <x:xf numFmtId="164" fontId="10" fillId="0" borderId="1" xfId="0" applyNumberFormat="1" applyFont="1" applyFill="1" applyBorder="1" applyAlignment="1">
      <x:alignment horizontal="general" vertical="center" wrapText="1"/>
    </x:xf>
    <x:xf numFmtId="164" fontId="16" fillId="7" borderId="1" xfId="0" applyNumberFormat="1" applyFont="1" applyFill="1" applyBorder="1" applyAlignment="1">
      <x:alignment horizontal="general" vertical="center" wrapText="1"/>
    </x:xf>
    <x:xf numFmtId="164" fontId="16" fillId="5" borderId="1" xfId="0" applyNumberFormat="1" applyFont="1" applyFill="1" applyBorder="1" applyAlignment="1">
      <x:alignment horizontal="general" vertical="center" wrapText="1"/>
    </x:xf>
    <x:xf numFmtId="164" fontId="5" fillId="0" borderId="0" xfId="0" applyNumberFormat="1" applyFont="1" applyFill="1" applyBorder="1" applyAlignment="1">
      <x:alignment horizontal="general" vertical="bottom" wrapText="1"/>
    </x:xf>
    <x:xf numFmtId="200" fontId="1" fillId="0" borderId="1" xfId="0" applyNumberFormat="1" applyFont="1" applyFill="1" applyBorder="1" applyAlignment="1">
      <x:alignment horizontal="center" vertical="bottom" wrapText="0"/>
    </x:xf>
    <x:xf numFmtId="167" fontId="1" fillId="0" borderId="1" xfId="0" applyNumberFormat="1" applyFont="1" applyFill="1" applyBorder="1" applyAlignment="1">
      <x:alignment horizontal="center" vertical="bottom" wrapText="0"/>
    </x:xf>
    <x:xf numFmtId="201" fontId="1" fillId="0" borderId="1" xfId="0" applyNumberFormat="1" applyFont="1" applyFill="1" applyBorder="1" applyAlignment="1">
      <x:alignment horizontal="center" vertical="bottom" wrapText="0"/>
    </x:xf>
    <x:xf numFmtId="164" fontId="7" fillId="5" borderId="0" xfId="0" applyNumberFormat="1" applyFont="1" applyFill="1" applyBorder="1" applyAlignment="1">
      <x:alignment horizontal="general" vertical="center" wrapText="1"/>
    </x:xf>
    <x:xf numFmtId="164" fontId="8" fillId="7" borderId="1" xfId="0" applyNumberFormat="1" applyFont="1" applyFill="1" applyBorder="1" applyAlignment="1">
      <x:alignment horizontal="left" vertical="bottom" wrapText="1"/>
    </x:xf>
    <x:xf numFmtId="164" fontId="8" fillId="5" borderId="1" xfId="0" applyNumberFormat="1" applyFont="1" applyFill="1" applyBorder="1" applyAlignment="1">
      <x:alignment horizontal="left" vertical="bottom" wrapText="1"/>
    </x:xf>
    <x:xf numFmtId="164" fontId="14" fillId="7" borderId="1" xfId="0" applyNumberFormat="1" applyFont="1" applyFill="1" applyBorder="1" applyAlignment="1">
      <x:alignment horizontal="general" vertical="bottom" wrapText="1"/>
    </x:xf>
    <x:xf numFmtId="200" fontId="1" fillId="0" borderId="1" xfId="0" applyNumberFormat="1" applyFont="1" applyFill="1" applyBorder="1" applyAlignment="1">
      <x:alignment horizontal="center" vertical="bottom" wrapText="1"/>
    </x:xf>
    <x:xf numFmtId="164" fontId="14" fillId="5" borderId="1" xfId="0" applyNumberFormat="1" applyFont="1" applyFill="1" applyBorder="1" applyAlignment="1">
      <x:alignment horizontal="general" vertical="bottom" wrapText="1"/>
    </x:xf>
    <x:xf numFmtId="167" fontId="1" fillId="0" borderId="1" xfId="0" applyNumberFormat="1" applyFont="1" applyFill="1" applyBorder="1" applyAlignment="1">
      <x:alignment horizontal="center" vertical="bottom" wrapText="1"/>
    </x:xf>
    <x:xf numFmtId="201" fontId="1" fillId="0" borderId="1" xfId="0" applyNumberFormat="1" applyFont="1" applyFill="1" applyBorder="1" applyAlignment="1">
      <x:alignment horizontal="center" vertical="bottom" wrapText="1"/>
    </x:xf>
    <x:xf numFmtId="164" fontId="7" fillId="7" borderId="1" xfId="0" applyNumberFormat="1" applyFont="1" applyFill="1" applyBorder="1" applyAlignment="1">
      <x:alignment horizontal="general" vertical="center" wrapText="1"/>
    </x:xf>
    <x:xf numFmtId="164" fontId="7" fillId="5" borderId="1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2">
    <x:dxf>
      <x:fill>
        <x:patternFill>
          <x:bgColor rgb="FFFFF2CC"/>
        </x:patternFill>
      </x:fill>
    </x:dxf>
    <x:dxf>
      <x:font>
        <x:b/>
        <x:color rgb="FF222222"/>
      </x:font>
      <x:fill>
        <x:patternFill>
          <x:bgColor rgb="FFFFF2CC"/>
        </x:patternFill>
      </x:fill>
    </x:dxf>
    <x:dxf>
      <x:font>
        <x:b/>
        <x:color rgb="FF222222"/>
      </x:font>
      <x:fill>
        <x:patternFill>
          <x:bgColor rgb="FFE2EFDA"/>
        </x:patternFill>
      </x:fill>
    </x:dxf>
    <x:dxf>
      <x:font>
        <x:b/>
        <x:color rgb="FF222222"/>
      </x:font>
      <x:fill>
        <x:patternFill>
          <x:bgColor rgb="FFFCE4D6"/>
        </x:patternFill>
      </x:fill>
    </x:dxf>
    <x:dxf>
      <x:font>
        <x:b/>
        <x:color rgb="FF222222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9C0006"/>
        </x:patternFill>
      </x:fill>
    </x:dxf>
    <x:dxf>
      <x:fill>
        <x:patternFill>
          <x:bgColor rgb="FFFFF2CC"/>
        </x:patternFill>
      </x:fill>
    </x:dxf>
    <x:dxf>
      <x:font>
        <x:b/>
        <x:color rgb="FF222222"/>
      </x:font>
      <x:fill>
        <x:patternFill>
          <x:bgColor rgb="FFFFF2CC"/>
        </x:patternFill>
      </x:fill>
    </x:dxf>
    <x:dxf>
      <x:font>
        <x:b/>
        <x:color rgb="FF222222"/>
      </x:font>
      <x:fill>
        <x:patternFill>
          <x:bgColor rgb="FFE2EFDA"/>
        </x:patternFill>
      </x:fill>
    </x:dxf>
    <x:dxf>
      <x:font>
        <x:b/>
        <x:color rgb="FF222222"/>
      </x:font>
      <x:fill>
        <x:patternFill>
          <x:bgColor rgb="FFFCE4D6"/>
        </x:patternFill>
      </x:fill>
    </x:dxf>
    <x:dxf>
      <x:font>
        <x:b/>
        <x:color rgb="FF222222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9C000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2D7A2D"/>
      <x:rgbColor rgb="FF000080"/>
      <x:rgbColor rgb="FF808000"/>
      <x:rgbColor rgb="FF800080"/>
      <x:rgbColor rgb="FF008080"/>
      <x:rgbColor rgb="FFCCCCCC"/>
      <x:rgbColor rgb="FF878787"/>
      <x:rgbColor rgb="FF9999FF"/>
      <x:rgbColor rgb="FFC0504D"/>
      <x:rgbColor rgb="FFFFF2CC"/>
      <x:rgbColor rgb="FFF2F2F2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9F9F9"/>
      <x:rgbColor rgb="FFE2EFDA"/>
      <x:rgbColor rgb="FFFCE4D6"/>
      <x:rgbColor rgb="FFFFF8F0"/>
      <x:rgbColor rgb="FFF4CCCC"/>
      <x:rgbColor rgb="FFCC99FF"/>
      <x:rgbColor rgb="FFFAD7BC"/>
      <x:rgbColor rgb="FF4F81BD"/>
      <x:rgbColor rgb="FF33CCCC"/>
      <x:rgbColor rgb="FF9BBB59"/>
      <x:rgbColor rgb="FFFFCC00"/>
      <x:rgbColor rgb="FFFF9900"/>
      <x:rgbColor rgb="FFE8670A"/>
      <x:rgbColor rgb="FF8064A2"/>
      <x:rgbColor rgb="FF969696"/>
      <x:rgbColor rgb="FF003366"/>
      <x:rgbColor rgb="FF339966"/>
      <x:rgbColor rgb="FF003300"/>
      <x:rgbColor rgb="FF4A4A4A"/>
      <x:rgbColor rgb="FF993300"/>
      <x:rgbColor rgb="FF595959"/>
      <x:rgbColor rgb="FF1F497D"/>
      <x:rgbColor rgb="FF2D2D2D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d22f444c74b13" /><Relationship Type="http://schemas.openxmlformats.org/officeDocument/2006/relationships/theme" Target="/xl/theme/theme1.xml" Id="R66ba62aae3924cc5" /><Relationship Type="http://schemas.openxmlformats.org/officeDocument/2006/relationships/sharedStrings" Target="/xl/sharedStrings.xml" Id="R715abb3b1a074992" /><Relationship Type="http://schemas.openxmlformats.org/officeDocument/2006/relationships/worksheet" Target="/xl/worksheets/sheet1.xml" Id="R055502d0e67c423d" /><Relationship Type="http://schemas.openxmlformats.org/officeDocument/2006/relationships/worksheet" Target="/xl/worksheets/sheet2.xml" Id="R6925f13072864c24" /><Relationship Type="http://schemas.openxmlformats.org/officeDocument/2006/relationships/worksheet" Target="/xl/worksheets/sheet3.xml" Id="Rb887b24d7314458f" /><Relationship Type="http://schemas.openxmlformats.org/officeDocument/2006/relationships/worksheet" Target="/xl/worksheets/sheet4.xml" Id="R5354e5cb2c7e459c" /><Relationship Type="http://schemas.openxmlformats.org/officeDocument/2006/relationships/worksheet" Target="/xl/worksheets/sheet5.xml" Id="Raea721f89c5346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eeac14f56c49ff" /><Relationship Type="http://schemas.openxmlformats.org/officeDocument/2006/relationships/chart" Target="/xl/drawings/charts/chart2.xml" Id="Ra9ff0001333e41fb" /><Relationship Type="http://schemas.openxmlformats.org/officeDocument/2006/relationships/chart" Target="/xl/drawings/charts/chart3.xml" Id="Rd4bab952dbc643d5" /><Relationship Type="http://schemas.openxmlformats.org/officeDocument/2006/relationships/chart" Target="/xl/drawings/charts/chart4.xml" Id="Rc35fa2e78cb245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 strike="noStrike" spc="-1">
                <a:solidFill>
                  <a:srgbClr val="000000"/>
                </a:solidFill>
                <a:latin typeface="Arial"/>
                <a:ea typeface="Arial"/>
                <a:cs typeface="Arial"/>
              </a:rPr>
              <a:t>Événements par mois et gravité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 strike="noStrike" spc="-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Presque-accident</c:v>
          </c:tx>
          <c:spPr>
            <a:solidFill xmlns:a="http://schemas.openxmlformats.org/drawingml/2006/main">
              <a:srgbClr val="FFF2CC"/>
            </a:solidFill>
          </c:spPr>
          <c:cat>
            <c:strRef>
              <c:f>'📊 Tableau de bord'!$V$2:$V$13</c:f>
              <c:strCache>
                <c:ptCount val="0"/>
              </c:strCache>
            </c:strRef>
          </c:cat>
          <c:val>
            <c:numRef>
              <c:f>'📊 Tableau de bord'!$W$2:$W$13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Premiers secours</c:v>
          </c:tx>
          <c:spPr>
            <a:solidFill xmlns:a="http://schemas.openxmlformats.org/drawingml/2006/main">
              <a:srgbClr val="E2EFDA"/>
            </a:solidFill>
          </c:spPr>
          <c:cat>
            <c:strRef>
              <c:f>'📊 Tableau de bord'!$V$2:$V$13</c:f>
              <c:strCache>
                <c:ptCount val="0"/>
              </c:strCache>
            </c:strRef>
          </c:cat>
          <c:val>
            <c:numRef>
              <c:f>'📊 Tableau de bord'!$X$2:$X$13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Traitement médical</c:v>
          </c:tx>
          <c:spPr>
            <a:solidFill xmlns:a="http://schemas.openxmlformats.org/drawingml/2006/main">
              <a:srgbClr val="FCE4D6"/>
            </a:solidFill>
          </c:spPr>
          <c:cat>
            <c:strRef>
              <c:f>'📊 Tableau de bord'!$V$2:$V$13</c:f>
              <c:strCache>
                <c:ptCount val="0"/>
              </c:strCache>
            </c:strRef>
          </c:cat>
          <c:val>
            <c:numRef>
              <c:f>'📊 Tableau de bord'!$Y$2:$Y$13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Arrêt de travail</c:v>
          </c:tx>
          <c:spPr>
            <a:solidFill xmlns:a="http://schemas.openxmlformats.org/drawingml/2006/main">
              <a:srgbClr val="F4CCCC"/>
            </a:solidFill>
          </c:spPr>
          <c:cat>
            <c:strRef>
              <c:f>'📊 Tableau de bord'!$V$2:$V$13</c:f>
              <c:strCache>
                <c:ptCount val="0"/>
              </c:strCache>
            </c:strRef>
          </c:cat>
          <c:val>
            <c:numRef>
              <c:f>'📊 Tableau de bord'!$Z$2:$Z$13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Décès</c:v>
          </c:tx>
          <c:spPr>
            <a:solidFill xmlns:a="http://schemas.openxmlformats.org/drawingml/2006/main">
              <a:srgbClr val="9C0006"/>
            </a:solidFill>
          </c:spPr>
          <c:cat>
            <c:strRef>
              <c:f>'📊 Tableau de bord'!$V$2:$V$13</c:f>
              <c:strCache>
                <c:ptCount val="0"/>
              </c:strCache>
            </c:strRef>
          </c:cat>
          <c:val>
            <c:numRef>
              <c:f>'📊 Tableau de bord'!$AA$2:$AA$13</c:f>
              <c:numCache>
                <c:formatCode>General</c:formatCode>
                <c:ptCount val="0"/>
              </c:numCache>
            </c:numRef>
          </c:val>
        </c:ser>
        <c:gapWidth val="150"/>
        <c:overlap val="100"/>
        <c:axId val="80600286"/>
        <c:axId val="62987428"/>
      </c:barChart>
      <c:catAx>
        <c:axId val="80600286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Mois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strike="noStrike" spc="-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62987428"/>
        <c:crosses val="autoZero"/>
        <c:lblAlgn val="ctr"/>
        <c:noMultiLvlLbl val="0"/>
        <c:lblOffset val="100"/>
      </c:catAx>
      <c:valAx>
        <c:axId val="62987428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Nombre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strike="noStrike" spc="-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80600286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t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 b="0" strike="noStrike" spc="-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 strike="noStrike" spc="-1">
                <a:solidFill>
                  <a:srgbClr val="000000"/>
                </a:solidFill>
                <a:latin typeface="Arial"/>
                <a:ea typeface="Arial"/>
                <a:cs typeface="Arial"/>
              </a:rPr>
              <a:t>Événements par type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 strike="noStrike" spc="-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Nombre</c:v>
          </c:tx>
          <c:cat>
            <c:strRef>
              <c:f>'📊 Tableau de bord'!$AB$2:$AB$17</c:f>
              <c:strCache>
                <c:ptCount val="0"/>
              </c:strCache>
            </c:strRef>
          </c:cat>
          <c:val>
            <c:numRef>
              <c:f>'📊 Tableau de bord'!$AC$2:$AC$17</c:f>
              <c:numCache>
                <c:formatCode>General</c:formatCode>
                <c:ptCount val="0"/>
              </c:numCache>
            </c:numRef>
          </c:val>
        </c:ser>
        <c:gapWidth val="150"/>
        <c:overlap val="0"/>
        <c:axId val="3223239"/>
        <c:axId val="58442535"/>
      </c:barChart>
      <c:catAx>
        <c:axId val="3223239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Nombre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strike="noStrike" spc="-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58442535"/>
        <c:crosses val="autoZero"/>
        <c:lblAlgn val="ctr"/>
        <c:noMultiLvlLbl val="0"/>
        <c:lblOffset val="100"/>
      </c:catAx>
      <c:valAx>
        <c:axId val="58442535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3223239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 strike="noStrike" spc="-1">
                <a:solidFill>
                  <a:srgbClr val="000000"/>
                </a:solidFill>
                <a:latin typeface="Arial"/>
                <a:ea typeface="Arial"/>
                <a:cs typeface="Arial"/>
              </a:rPr>
              <a:t>Événements par cause profonde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 strike="noStrike" spc="-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Nombre</c:v>
          </c:tx>
          <c:cat>
            <c:strRef>
              <c:f>'📊 Tableau de bord'!$AE$2:$AE$22</c:f>
              <c:strCache>
                <c:ptCount val="0"/>
              </c:strCache>
            </c:strRef>
          </c:cat>
          <c:val>
            <c:numRef>
              <c:f>'📊 Tableau de bord'!$AF$2:$AF$22</c:f>
              <c:numCache>
                <c:formatCode>General</c:formatCode>
                <c:ptCount val="0"/>
              </c:numCache>
            </c:numRef>
          </c:val>
        </c:ser>
        <c:gapWidth val="150"/>
        <c:overlap val="0"/>
        <c:axId val="99685050"/>
        <c:axId val="37156135"/>
      </c:barChart>
      <c:catAx>
        <c:axId val="9968505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37156135"/>
        <c:crosses val="autoZero"/>
        <c:lblAlgn val="ctr"/>
        <c:noMultiLvlLbl val="0"/>
        <c:lblOffset val="100"/>
      </c:catAx>
      <c:valAx>
        <c:axId val="37156135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99685050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 strike="noStrike" spc="-1">
                <a:solidFill>
                  <a:srgbClr val="000000"/>
                </a:solidFill>
                <a:latin typeface="Arial"/>
                <a:ea typeface="Arial"/>
                <a:cs typeface="Arial"/>
              </a:rPr>
              <a:t>Événements par service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 strike="noStrike" spc="-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Nombre</c:v>
          </c:tx>
          <c:cat>
            <c:strRef>
              <c:f>'📊 Tableau de bord'!$AH$2:$AH$12</c:f>
              <c:strCache>
                <c:ptCount val="0"/>
              </c:strCache>
            </c:strRef>
          </c:cat>
          <c:val>
            <c:numRef>
              <c:f>'📊 Tableau de bord'!$AI$2:$AI$12</c:f>
              <c:numCache>
                <c:formatCode>General</c:formatCode>
                <c:ptCount val="0"/>
              </c:numCache>
            </c:numRef>
          </c:val>
        </c:ser>
        <c:gapWidth val="150"/>
        <c:overlap val="0"/>
        <c:axId val="17618248"/>
        <c:axId val="91010793"/>
      </c:barChart>
      <c:catAx>
        <c:axId val="1761824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91010793"/>
        <c:crosses val="autoZero"/>
        <c:lblAlgn val="ctr"/>
        <c:noMultiLvlLbl val="0"/>
        <c:lblOffset val="100"/>
      </c:catAx>
      <c:valAx>
        <c:axId val="91010793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17618248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3</xdr:row>
      <xdr:rowOff>0</xdr:rowOff>
    </xdr:from>
    <xdr:to>
      <xdr:col>11</xdr:col>
      <xdr:colOff>364320</xdr:colOff>
      <xdr:row>25</xdr:row>
      <xdr:rowOff>149040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eeac14f56c49ff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21</xdr:col>
      <xdr:colOff>255960</xdr:colOff>
      <xdr:row>25</xdr:row>
      <xdr:rowOff>149040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9ff0001333e41fb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11</xdr:col>
      <xdr:colOff>364320</xdr:colOff>
      <xdr:row>59</xdr:row>
      <xdr:rowOff>128160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bab952dbc643d5"/>
        </a:graphicData>
      </a:graphic>
    </xdr:graphicFrame>
    <xdr:clientData/>
  </xdr:twoCellAnchor>
  <xdr:twoCellAnchor>
    <xdr:from>
      <xdr:col>11</xdr:col>
      <xdr:colOff>0</xdr:colOff>
      <xdr:row>26</xdr:row>
      <xdr:rowOff>0</xdr:rowOff>
    </xdr:from>
    <xdr:to>
      <xdr:col>21</xdr:col>
      <xdr:colOff>147240</xdr:colOff>
      <xdr:row>59</xdr:row>
      <xdr:rowOff>149040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5fa2e78cb2451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f211d835e1a14764" /></Relationships>
</file>

<file path=xl/worksheets/sheet1.xml><?xml version="1.0" encoding="utf-8"?>
<x:worksheet xmlns:x="http://schemas.openxmlformats.org/spreadsheetml/2006/main">
  <x:sheetPr>
    <x:tabColor rgb="FF4A4A4A"/>
    <x:pageSetUpPr fitToPage="false"/>
  </x:sheetPr>
  <x:sheetViews>
    <x:sheetView showGridLines="1" workbookViewId="0"/>
  </x:sheetViews>
  <x:sheetFormatPr defaultColWidth="8.6796875" defaultRowHeight="15"/>
  <x:cols>
    <x:col min="1" max="1" width="3" style="1" hidden="0" customWidth="1"/>
    <x:col min="2" max="2" width="28" style="1" hidden="0" customWidth="1"/>
    <x:col min="3" max="3" width="86" style="1" hidden="0" customWidth="1"/>
    <x:col min="4" max="4" width="20" style="1" hidden="0" customWidth="1"/>
  </x:cols>
  <x:sheetData>
    <x:row r="1" ht="30" hidden="0" customHeight="1">
      <x:c r="B1" s="2" t="str">
        <x:v>Registre des accidents et presque-accidents : mode d’emploi</x:v>
      </x:c>
      <x:c r="C1" s="2"/>
      <x:c r="D1" s="2"/>
    </x:row>
    <x:row r="2" ht="18" hidden="0" customHeight="1">
      <x:c r="B2" s="3" t="str">
        <x:v>Des données d’exemple sont incluses. Remplacez les lignes d’exemple avant utilisation.</x:v>
      </x:c>
      <x:c r="C2" s="3"/>
      <x:c r="D2" s="3"/>
    </x:row>
    <x:row r="4" ht="18" hidden="0" customHeight="1"/>
    <x:row r="5" ht="21.75" hidden="0" customHeight="1">
      <x:c r="B5" s="4" t="str">
        <x:v>Feuilles du classeur</x:v>
      </x:c>
      <x:c r="C5" s="4"/>
      <x:c r="D5" s="4"/>
    </x:row>
    <x:row r="6" ht="42" hidden="0" customHeight="1">
      <x:c r="B6" s="92" t="str">
        <x:v>Saisie des données</x:v>
      </x:c>
      <x:c r="C6" s="42" t="str">
        <x:v>Utilisez une ligne par événement. Remplacez les lignes d’exemple avant utilisation.</x:v>
      </x:c>
    </x:row>
    <x:row r="7" ht="42" hidden="0" customHeight="1">
      <x:c r="B7" s="92" t="str">
        <x:v>Tableau de bord</x:v>
      </x:c>
      <x:c r="C7" s="42" t="str">
        <x:v>Les graphiques présentent l’année de référence choisie. Copiez-les dans PowerPoint sous forme d’images.</x:v>
      </x:c>
    </x:row>
    <x:row r="8" ht="52" hidden="0" customHeight="1">
      <x:c r="B8" s="92" t="str">
        <x:v>Indicateurs</x:v>
      </x:c>
      <x:c r="C8" s="42" t="str">
        <x:v>Indiquez l’année et les heures travaillées par les personnes couvertes par le registre, y compris le personnel externe si ses événements sont inclus.</x:v>
      </x:c>
    </x:row>
    <x:row r="9" ht="42" hidden="0" customHeight="1">
      <x:c r="B9" s="92" t="str">
        <x:v>Listes de choix</x:v>
      </x:c>
      <x:c r="C9" s="42" t="str">
        <x:v>Listes de choix pour les champs de saisie. Adaptez-les avant d’enregistrer des événements.</x:v>
      </x:c>
    </x:row>
    <x:row r="10" ht="18" hidden="0" customHeight="1">
      <x:c r="B10" s="43"/>
      <x:c r="C10" s="43"/>
    </x:row>
    <x:row r="11" ht="21.75" hidden="0" customHeight="1">
      <x:c r="B11" s="44" t="str">
        <x:v>Saisir un événement</x:v>
      </x:c>
      <x:c r="C11" s="44"/>
      <x:c r="D11" s="4"/>
    </x:row>
    <x:row r="12" ht="42" hidden="0" customHeight="1">
      <x:c r="B12" s="92" t="str">
        <x:v>Identifiant de l’événement</x:v>
      </x:c>
      <x:c r="C12" s="42" t="str">
        <x:v>Attribuez un identifiant unique, par exemple ACC-2025-001. Conservez-le.</x:v>
      </x:c>
    </x:row>
    <x:row r="13" ht="42" hidden="0" customHeight="1">
      <x:c r="B13" s="92" t="str">
        <x:v>Gravité</x:v>
      </x:c>
      <x:c r="C13" s="42" t="str">
        <x:v>Choisissez le niveau de gravité applicable le plus élevé. Un presque-accident ne cause aucune lésion.</x:v>
      </x:c>
    </x:row>
    <x:row r="14" ht="42" hidden="0" customHeight="1">
      <x:c r="B14" s="92" t="str">
        <x:v>N° de dossier Suva</x:v>
      </x:c>
      <x:c r="C14" s="42" t="str">
        <x:v>Saisissez le numéro lorsque la Suva l’attribue. Laissez ce champ vide pour les presque-accidents.</x:v>
      </x:c>
    </x:row>
    <x:row r="15" ht="42" hidden="0" customHeight="1">
      <x:c r="B15" s="92" t="str">
        <x:v>Type d’événement</x:v>
      </x:c>
      <x:c r="C15" s="42" t="str">
        <x:v>Choisissez un type d’événement. Décrivez son déroulement dans le champ Description.</x:v>
      </x:c>
    </x:row>
    <x:row r="16" ht="42" hidden="0" customHeight="1">
      <x:c r="B16" s="92" t="str">
        <x:v>Cause immédiate</x:v>
      </x:c>
      <x:c r="C16" s="42" t="str">
        <x:v>Indiquez la cause immédiate, par exemple une machine sans protection ou un sol mouillé.</x:v>
      </x:c>
    </x:row>
    <x:row r="17" ht="48" hidden="0" customHeight="1">
      <x:c r="B17" s="92" t="str">
        <x:v>Cause profonde</x:v>
      </x:c>
      <x:c r="C17" s="42" t="str">
        <x:v>Choisissez une catégorie de cause profonde. Précisez la cause et les causes supplémentaires dans le champ Détails des causes.</x:v>
      </x:c>
    </x:row>
    <x:row r="18" ht="42" hidden="0" customHeight="1">
      <x:c r="B18" s="92" t="str">
        <x:v>Mesure de protection absente ou défaillante</x:v>
      </x:c>
      <x:c r="C18" s="42" t="str">
        <x:v>Choisissez Aucune mesure de protection, Contournée, Insuffisante ou Inconnue.</x:v>
      </x:c>
    </x:row>
    <x:row r="19" ht="42" hidden="0" customHeight="1">
      <x:c r="B19" s="92" t="str">
        <x:v>Type de travail</x:v>
      </x:c>
      <x:c r="C19" s="42" t="str">
        <x:v>Choisissez Travail courant, Travail non courant, Maintenance, Urgence ou Mise en service.</x:v>
      </x:c>
    </x:row>
    <x:row r="20" ht="42" hidden="0" customHeight="1">
      <x:c r="B20" s="92" t="str">
        <x:v>Ancienneté dans la fonction (mois)</x:v>
      </x:c>
      <x:c r="C20" s="42" t="str">
        <x:v>Indiquez le nombre de mois dans cette fonction au moment de l’événement.</x:v>
      </x:c>
    </x:row>
    <x:row r="21" ht="18" hidden="0" customHeight="1">
      <x:c r="B21" s="43"/>
      <x:c r="C21" s="43"/>
    </x:row>
    <x:row r="22" ht="21.75" hidden="0" customHeight="1">
      <x:c r="B22" s="44" t="str">
        <x:v>Utiliser le registre</x:v>
      </x:c>
      <x:c r="C22" s="44"/>
      <x:c r="D22" s="4"/>
    </x:row>
    <x:row r="23" ht="42" hidden="0" customHeight="1">
      <x:c r="B23" s="92" t="str">
        <x:v>Presque-accidents</x:v>
      </x:c>
      <x:c r="C23" s="42" t="str">
        <x:v>Pour un presque-accident, choisissez Presque-accident et renseignez les causes et les mesures.</x:v>
      </x:c>
    </x:row>
    <x:row r="24" ht="42" hidden="0" customHeight="1">
      <x:c r="B24" s="92" t="str">
        <x:v>Champs calculés</x:v>
      </x:c>
      <x:c r="C24" s="42" t="str">
        <x:v>Saisissez la date dans la colonne C. L’année, le mois, la semaine et le jour de la semaine sont calculés automatiquement jusqu’à la ligne 1000.</x:v>
      </x:c>
    </x:row>
    <x:row r="25" ht="42" hidden="0" customHeight="1">
      <x:c r="B25" s="92" t="str">
        <x:v>Listes de choix</x:v>
      </x:c>
      <x:c r="C25" s="42" t="str">
        <x:v>Utilisez les valeurs proposées. Conservez des noms de catégories cohérents avec les événements déjà saisis.</x:v>
      </x:c>
    </x:row>
    <x:row r="26" ht="42" hidden="0" customHeight="1">
      <x:c r="B26" s="92" t="str">
        <x:v>Graphiques</x:v>
      </x:c>
      <x:c r="C26" s="42" t="str">
        <x:v>Faites un clic droit sur un graphique, copiez-le, puis collez-le dans PowerPoint sous forme d’image.</x:v>
      </x:c>
    </x:row>
    <x:row r="27" ht="42" hidden="0" customHeight="1">
      <x:c r="B27" s="92" t="str">
        <x:v>Calcul du LTIF</x:v>
      </x:c>
      <x:c r="C27" s="42" t="str">
        <x:v>LTIF = (accidents avec arrêt de travail + décès) × 1 000 000 ÷ heures travaillées durant l’année de référence.</x:v>
      </x:c>
    </x:row>
  </x:sheetData>
  <x:mergeCells>
    <x:mergeCell ref="B1:D1"/>
    <x:mergeCell ref="B2:D2"/>
    <x:mergeCell ref="B5:D5"/>
    <x:mergeCell ref="B11:D11"/>
    <x:mergeCell ref="B22:D22"/>
  </x:mergeCell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2.xml><?xml version="1.0" encoding="utf-8"?>
<x:worksheet xmlns:x="http://schemas.openxmlformats.org/spreadsheetml/2006/main">
  <x:sheetPr>
    <x:tabColor rgb="FFE8670A"/>
    <x:pageSetUpPr fitToPage="false"/>
  </x:sheetPr>
  <x:sheetViews>
    <x:sheetView showGridLines="1" workbookViewId="0">
      <x:pane xSplit="1" ySplit="3" topLeftCell="B4" activePane="bottomRight" state="frozen"/>
    </x:sheetView>
  </x:sheetViews>
  <x:sheetFormatPr defaultColWidth="8.6796875" defaultRowHeight="15"/>
  <x:cols>
    <x:col min="1" max="1" width="18" style="1" hidden="0" customWidth="1"/>
    <x:col min="2" max="2" width="14" style="1" hidden="0" customWidth="1"/>
    <x:col min="3" max="3" width="12" style="1" hidden="0" customWidth="1"/>
    <x:col min="4" max="6" width="8" style="1" hidden="0" customWidth="1"/>
    <x:col min="7" max="7" width="13" style="1" hidden="0" customWidth="1"/>
    <x:col min="8" max="8" width="12" style="1" hidden="0" customWidth="1"/>
    <x:col min="9" max="9" width="22" style="1" hidden="0" customWidth="1"/>
    <x:col min="10" max="10" width="18" style="1" hidden="0" customWidth="1"/>
    <x:col min="11" max="11" width="14" style="1" hidden="0" customWidth="1"/>
    <x:col min="12" max="12" width="10" style="1" hidden="0" customWidth="1"/>
    <x:col min="13" max="14" width="18" style="1" hidden="0" customWidth="1"/>
    <x:col min="15" max="15" width="20" style="1" hidden="0" customWidth="1"/>
    <x:col min="16" max="16" width="12" style="1" hidden="0" customWidth="1"/>
    <x:col min="17" max="17" width="18" style="1" hidden="0" customWidth="1"/>
    <x:col min="18" max="19" width="16" style="1" hidden="0" customWidth="1"/>
    <x:col min="20" max="20" width="22" style="1" hidden="0" customWidth="1"/>
    <x:col min="21" max="22" width="18" style="1" hidden="0" customWidth="1"/>
    <x:col min="23" max="23" width="14" style="1" hidden="0" customWidth="1"/>
    <x:col min="24" max="24" width="12" style="1" hidden="0" customWidth="1"/>
    <x:col min="25" max="25" width="22" style="1" hidden="0" customWidth="1"/>
    <x:col min="26" max="27" width="30" style="1" hidden="0" customWidth="1"/>
    <x:col min="28" max="28" width="25" style="1" hidden="0" customWidth="1"/>
    <x:col min="29" max="29" width="20" style="1" hidden="0" customWidth="1"/>
    <x:col min="30" max="30" width="45" style="1" hidden="0" customWidth="1"/>
    <x:col min="31" max="31" width="24" style="1" hidden="0" customWidth="1"/>
    <x:col min="32" max="32" width="35" style="1" hidden="0" customWidth="1"/>
    <x:col min="33" max="33" width="20" style="1" hidden="0" customWidth="1"/>
    <x:col min="34" max="34" width="12" style="1" hidden="0" customWidth="1"/>
    <x:col min="35" max="35" width="35" style="1" hidden="0" customWidth="1"/>
  </x:cols>
  <x:sheetData>
    <x:row r="1" ht="27.75" hidden="0" customHeight="1">
      <x:c r="A1" s="7" t="str">
        <x:v>Registre des accidents et presque-accidents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</x:row>
    <x:row r="2" ht="15.75" hidden="0" customHeight="1">
      <x:c r="A2" s="8" t="str">
        <x:v>Couleurs de gravité : Presque-accident (jaune), Premiers secours (vert), Traitement médical (saumon), Arrêt de travail (rouge), Décès (rouge foncé). Lignes d’exemple incluses.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</x:row>
    <x:row r="3" ht="72" hidden="0" customHeight="1">
      <x:c r="A3" s="49" t="str">
        <x:v>Identifiant de l’événement</x:v>
      </x:c>
      <x:c r="B3" s="49" t="str">
        <x:v>N° de dossier Suva</x:v>
      </x:c>
      <x:c r="C3" s="49" t="str">
        <x:v>Date</x:v>
      </x:c>
      <x:c r="D3" s="49" t="str">
        <x:v>Année</x:v>
      </x:c>
      <x:c r="E3" s="49" t="str">
        <x:v>Mois</x:v>
      </x:c>
      <x:c r="F3" s="49" t="str">
        <x:v>Semaine</x:v>
      </x:c>
      <x:c r="G3" s="49" t="str">
        <x:v>Jour de la semaine</x:v>
      </x:c>
      <x:c r="H3" s="49" t="str">
        <x:v>Heure</x:v>
      </x:c>
      <x:c r="I3" s="49" t="str">
        <x:v>Équipe / horaire</x:v>
      </x:c>
      <x:c r="J3" s="49" t="str">
        <x:v>Gravité</x:v>
      </x:c>
      <x:c r="K3" s="49" t="str">
        <x:v>À déclarer (LAA)</x:v>
      </x:c>
      <x:c r="L3" s="49" t="str">
        <x:v>Jours d’absence</x:v>
      </x:c>
      <x:c r="M3" s="49" t="str">
        <x:v>Service</x:v>
      </x:c>
      <x:c r="N3" s="49" t="str">
        <x:v>Lieu</x:v>
      </x:c>
      <x:c r="O3" s="49" t="str">
        <x:v>Nom de la personne concernée</x:v>
      </x:c>
      <x:c r="P3" s="49" t="str">
        <x:v>Entreprise externe</x:v>
      </x:c>
      <x:c r="Q3" s="49" t="str">
        <x:v>Fonction</x:v>
      </x:c>
      <x:c r="R3" s="49" t="str">
        <x:v>Ancienneté dans la fonction (mois)</x:v>
      </x:c>
      <x:c r="S3" s="49" t="str">
        <x:v>Type de travail</x:v>
      </x:c>
      <x:c r="T3" s="49" t="str">
        <x:v>Type d’événement</x:v>
      </x:c>
      <x:c r="U3" s="49" t="str">
        <x:v>Partie du corps</x:v>
      </x:c>
      <x:c r="V3" s="49" t="str">
        <x:v>Type de lésion</x:v>
      </x:c>
      <x:c r="W3" s="49" t="str">
        <x:v>EPI requis</x:v>
      </x:c>
      <x:c r="X3" s="49" t="str">
        <x:v>EPI porté</x:v>
      </x:c>
      <x:c r="Y3" s="49" t="str">
        <x:v>Processus</x:v>
      </x:c>
      <x:c r="Z3" s="49" t="str">
        <x:v>Cause immédiate</x:v>
      </x:c>
      <x:c r="AA3" s="49" t="str">
        <x:v>Cause profonde (catégorie)</x:v>
      </x:c>
      <x:c r="AB3" s="49" t="str">
        <x:v>Détails des causes / cause supplémentaire</x:v>
      </x:c>
      <x:c r="AC3" s="49" t="str">
        <x:v>Mesure de protection absente ou défaillante</x:v>
      </x:c>
      <x:c r="AD3" s="49" t="str">
        <x:v>Description</x:v>
      </x:c>
      <x:c r="AE3" s="49" t="str">
        <x:v>Analyse d’événement réalisée</x:v>
      </x:c>
      <x:c r="AF3" s="49" t="str">
        <x:v>Mesure corrective</x:v>
      </x:c>
      <x:c r="AG3" s="49" t="str">
        <x:v>Échéance de la mesure</x:v>
      </x:c>
      <x:c r="AH3" s="49" t="str">
        <x:v>Mesure clôturée</x:v>
      </x:c>
      <x:c r="AI3" s="49" t="str">
        <x:v>Remarques</x:v>
      </x:c>
    </x:row>
    <x:row r="4" ht="100" hidden="0" customHeight="1">
      <x:c r="A4" s="57" t="str">
        <x:v>ACC-2025-001</x:v>
      </x:c>
      <x:c r="B4" s="57"/>
      <x:c r="C4" s="58" t="n">
        <x:v>45672</x:v>
      </x:c>
      <x:c r="D4" s="57" t="n">
        <x:f>IF(C4="","",YEAR(C4))</x:f>
        <x:v>2025</x:v>
      </x:c>
      <x:c r="E4" s="57" t="n">
        <x:f>IF(C4="","",MONTH(C4))</x:f>
        <x:v>1</x:v>
      </x:c>
      <x:c r="F4" s="57" t="n">
        <x:f aca="0">IF(C4="","",WEEKNUM(C4,21))</x:f>
        <x:v>3</x:v>
      </x:c>
      <x:c r="G4" s="57" t="str">
        <x:f>IF(C4="","",CHOOSE(WEEKDAY(C4,2),"Lundi","Mardi","Mercredi","Jeudi","Vendredi","Samedi","Dimanche"))</x:f>
        <x:v>Mercredi</x:v>
      </x:c>
      <x:c r="H4" s="57" t="str">
        <x:v>09:15</x:v>
      </x:c>
      <x:c r="I4" s="57" t="str">
        <x:v>Matin</x:v>
      </x:c>
      <x:c r="J4" s="100" t="str">
        <x:v>Arrêt de travail</x:v>
      </x:c>
      <x:c r="K4" s="57" t="str">
        <x:v>Oui</x:v>
      </x:c>
      <x:c r="L4" s="57" t="n">
        <x:v>3</x:v>
      </x:c>
      <x:c r="M4" s="57" t="str">
        <x:v>Production</x:v>
      </x:c>
      <x:c r="N4" s="57" t="str">
        <x:v>Halle de montage A</x:v>
      </x:c>
      <x:c r="O4" s="57" t="str">
        <x:v>Müller, Hans</x:v>
      </x:c>
      <x:c r="P4" s="57" t="str">
        <x:v>Non</x:v>
      </x:c>
      <x:c r="Q4" s="57" t="str">
        <x:v>Conducteur de machine</x:v>
      </x:c>
      <x:c r="R4" s="57" t="n">
        <x:v>8</x:v>
      </x:c>
      <x:c r="S4" s="57" t="str">
        <x:v>Travail courant</x:v>
      </x:c>
      <x:c r="T4" s="57" t="str">
        <x:v>Happé / coincé</x:v>
      </x:c>
      <x:c r="U4" s="57" t="str">
        <x:v>Main/Doigts</x:v>
      </x:c>
      <x:c r="V4" s="57" t="str">
        <x:v>Plaie lacérée</x:v>
      </x:c>
      <x:c r="W4" s="57" t="str">
        <x:v>Oui</x:v>
      </x:c>
      <x:c r="X4" s="57" t="str">
        <x:v>Non</x:v>
      </x:c>
      <x:c r="Y4" s="68" t="str">
        <x:v>Pressage de métaux</x:v>
      </x:c>
      <x:c r="Z4" s="68" t="str">
        <x:v>Point de pincement non protégé sur la presse</x:v>
      </x:c>
      <x:c r="AA4" s="68" t="str">
        <x:v>Protection absente ou insuffisante</x:v>
      </x:c>
      <x:c r="AB4" s="68" t="str">
        <x:v>Protection retirée pour le nettoyage et non remise en place. Absence de liste de contrôle pour sa remise en place.</x:v>
      </x:c>
      <x:c r="AC4" s="68" t="str">
        <x:v>Contournée</x:v>
      </x:c>
      <x:c r="AD4" s="68" t="str">
        <x:v>La main droite de l’opérateur a été coincée au point de pincement de la presse pendant un cycle courant. Trois jours d’absence.</x:v>
      </x:c>
      <x:c r="AE4" s="68" t="str">
        <x:v>Oui</x:v>
      </x:c>
      <x:c r="AF4" s="68" t="str">
        <x:v>Installer une protection fixe. Introduire une liste de contrôle pour remettre les protections en place avant le redémarrage.</x:v>
      </x:c>
      <x:c r="AG4" s="69" t="n">
        <x:v>45716</x:v>
      </x:c>
      <x:c r="AH4" s="68" t="str">
        <x:v>Oui</x:v>
      </x:c>
      <x:c r="AI4" s="68"/>
    </x:row>
    <x:row r="5" ht="100" hidden="0" customHeight="1">
      <x:c r="A5" s="60" t="str">
        <x:v>ACC-2025-002</x:v>
      </x:c>
      <x:c r="B5" s="60"/>
      <x:c r="C5" s="61" t="n">
        <x:v>45691</x:v>
      </x:c>
      <x:c r="D5" s="60" t="n">
        <x:f>IF(C5="","",YEAR(C5))</x:f>
        <x:v>2025</x:v>
      </x:c>
      <x:c r="E5" s="60" t="n">
        <x:f>IF(C5="","",MONTH(C5))</x:f>
        <x:v>2</x:v>
      </x:c>
      <x:c r="F5" s="60" t="n">
        <x:f aca="0">IF(C5="","",WEEKNUM(C5,21))</x:f>
        <x:v>6</x:v>
      </x:c>
      <x:c r="G5" s="60" t="str">
        <x:f>IF(C5="","",CHOOSE(WEEKDAY(C5,2),"Lundi","Mardi","Mercredi","Jeudi","Vendredi","Samedi","Dimanche"))</x:f>
        <x:v>Lundi</x:v>
      </x:c>
      <x:c r="H5" s="60" t="str">
        <x:v>11:30</x:v>
      </x:c>
      <x:c r="I5" s="60" t="str">
        <x:v>Matin</x:v>
      </x:c>
      <x:c r="J5" s="101" t="str">
        <x:v>Premiers secours</x:v>
      </x:c>
      <x:c r="K5" s="60" t="str">
        <x:v>Oui</x:v>
      </x:c>
      <x:c r="L5" s="60" t="n">
        <x:v>0</x:v>
      </x:c>
      <x:c r="M5" s="60" t="str">
        <x:v>Entrepôt</x:v>
      </x:c>
      <x:c r="N5" s="60" t="str">
        <x:v>Quai de chargement</x:v>
      </x:c>
      <x:c r="O5" s="60" t="str">
        <x:v>Bernasconi, Sara</x:v>
      </x:c>
      <x:c r="P5" s="60" t="str">
        <x:v>Non</x:v>
      </x:c>
      <x:c r="Q5" s="60" t="str">
        <x:v>Conductrice de chariot élévateur</x:v>
      </x:c>
      <x:c r="R5" s="60" t="n">
        <x:v>24</x:v>
      </x:c>
      <x:c r="S5" s="60" t="str">
        <x:v>Travail courant</x:v>
      </x:c>
      <x:c r="T5" s="60" t="str">
        <x:v>Glissade / trébuchement / chute de plain-pied</x:v>
      </x:c>
      <x:c r="U5" s="60" t="str">
        <x:v>Genou</x:v>
      </x:c>
      <x:c r="V5" s="60" t="str">
        <x:v>Contusion</x:v>
      </x:c>
      <x:c r="W5" s="60" t="str">
        <x:v>Oui</x:v>
      </x:c>
      <x:c r="X5" s="60" t="str">
        <x:v>Oui</x:v>
      </x:c>
      <x:c r="Y5" s="70" t="str">
        <x:v>Réception de marchandises</x:v>
      </x:c>
      <x:c r="Z5" s="70" t="str">
        <x:v>Sol mouillé en raison d’une fuite du toit</x:v>
      </x:c>
      <x:c r="AA5" s="70" t="str">
        <x:v>Maintenance non effectuée</x:v>
      </x:c>
      <x:c r="AB5" s="70" t="str">
        <x:v>Maintenance du toit en retard. Absence de panneau signalant le sol mouillé.</x:v>
      </x:c>
      <x:c r="AC5" s="70" t="str">
        <x:v>Insuffisante</x:v>
      </x:c>
      <x:c r="AD5" s="70" t="str">
        <x:v>La conductrice a glissé sur du béton mouillé à l’entrée du quai. Premiers secours uniquement.</x:v>
      </x:c>
      <x:c r="AE5" s="70" t="str">
        <x:v>Oui</x:v>
      </x:c>
      <x:c r="AF5" s="70" t="str">
        <x:v>Réparer le toit. Utiliser un tapis antidérapant et des panneaux d’avertissement jusqu’à la fin des réparations.</x:v>
      </x:c>
      <x:c r="AG5" s="71" t="n">
        <x:v>45708</x:v>
      </x:c>
      <x:c r="AH5" s="70" t="str">
        <x:v>Oui</x:v>
      </x:c>
      <x:c r="AI5" s="70"/>
    </x:row>
    <x:row r="6" ht="100" hidden="0" customHeight="1">
      <x:c r="A6" s="57" t="str">
        <x:v>ACC-2025-003</x:v>
      </x:c>
      <x:c r="B6" s="57"/>
      <x:c r="C6" s="58" t="n">
        <x:v>45702</x:v>
      </x:c>
      <x:c r="D6" s="57" t="n">
        <x:f>IF(C6="","",YEAR(C6))</x:f>
        <x:v>2025</x:v>
      </x:c>
      <x:c r="E6" s="57" t="n">
        <x:f>IF(C6="","",MONTH(C6))</x:f>
        <x:v>2</x:v>
      </x:c>
      <x:c r="F6" s="57" t="n">
        <x:f aca="0">IF(C6="","",WEEKNUM(C6,21))</x:f>
        <x:v>7</x:v>
      </x:c>
      <x:c r="G6" s="57" t="str">
        <x:f>IF(C6="","",CHOOSE(WEEKDAY(C6,2),"Lundi","Mardi","Mercredi","Jeudi","Vendredi","Samedi","Dimanche"))</x:f>
        <x:v>Vendredi</x:v>
      </x:c>
      <x:c r="H6" s="57" t="str">
        <x:v>14:45</x:v>
      </x:c>
      <x:c r="I6" s="57" t="str">
        <x:v>Après-midi</x:v>
      </x:c>
      <x:c r="J6" s="100" t="str">
        <x:v>Presque-accident</x:v>
      </x:c>
      <x:c r="K6" s="57" t="str">
        <x:v>Non</x:v>
      </x:c>
      <x:c r="L6" s="57" t="n">
        <x:v>0</x:v>
      </x:c>
      <x:c r="M6" s="57" t="str">
        <x:v>Maintenance</x:v>
      </x:c>
      <x:c r="N6" s="57" t="str">
        <x:v>Chaufferie</x:v>
      </x:c>
      <x:c r="O6" s="57" t="str">
        <x:v>Zimmermann, Beat</x:v>
      </x:c>
      <x:c r="P6" s="57" t="str">
        <x:v>Non</x:v>
      </x:c>
      <x:c r="Q6" s="57" t="str">
        <x:v>Technicien de maintenance</x:v>
      </x:c>
      <x:c r="R6" s="57" t="n">
        <x:v>36</x:v>
      </x:c>
      <x:c r="S6" s="57" t="str">
        <x:v>Travail non courant</x:v>
      </x:c>
      <x:c r="T6" s="57" t="str">
        <x:v>Exposition à une énergie / défaut de consignation</x:v>
      </x:c>
      <x:c r="U6" s="57" t="str">
        <x:v>Aucune (presque-accident)</x:v>
      </x:c>
      <x:c r="V6" s="57" t="str">
        <x:v>Presque-accident</x:v>
      </x:c>
      <x:c r="W6" s="57" t="str">
        <x:v>Oui</x:v>
      </x:c>
      <x:c r="X6" s="57" t="str">
        <x:v>Oui</x:v>
      </x:c>
      <x:c r="Y6" s="68" t="str">
        <x:v>Maintenance de chaudière</x:v>
      </x:c>
      <x:c r="Z6" s="68" t="str">
        <x:v>Consignation non vérifiée avant l’ouverture du tableau</x:v>
      </x:c>
      <x:c r="AA6" s="68" t="str">
        <x:v>Procédure non respectée</x:v>
      </x:c>
      <x:c r="AB6" s="68" t="str">
        <x:v>Procédure de consignation non respectée. Pression liée aux délais de production.</x:v>
      </x:c>
      <x:c r="AC6" s="68" t="str">
        <x:v>Aucune mesure de protection</x:v>
      </x:c>
      <x:c r="AD6" s="68" t="str">
        <x:v>Le technicien a ouvert un tableau électrique sans vérifier la consignation. Une barre omnibus était sous tension.</x:v>
      </x:c>
      <x:c r="AE6" s="68" t="str">
        <x:v>Oui</x:v>
      </x:c>
      <x:c r="AF6" s="68" t="str">
        <x:v>Exiger un permis de travail pour cette tâche</x:v>
      </x:c>
      <x:c r="AG6" s="69" t="n">
        <x:v>45716</x:v>
      </x:c>
      <x:c r="AH6" s="68" t="str">
        <x:v>Non</x:v>
      </x:c>
      <x:c r="AI6" s="68"/>
    </x:row>
    <x:row r="7" ht="100" hidden="0" customHeight="1">
      <x:c r="A7" s="60" t="str">
        <x:v>ACC-2025-004</x:v>
      </x:c>
      <x:c r="B7" s="60"/>
      <x:c r="C7" s="61" t="n">
        <x:v>45717</x:v>
      </x:c>
      <x:c r="D7" s="60" t="n">
        <x:f>IF(C7="","",YEAR(C7))</x:f>
        <x:v>2025</x:v>
      </x:c>
      <x:c r="E7" s="60" t="n">
        <x:f>IF(C7="","",MONTH(C7))</x:f>
        <x:v>3</x:v>
      </x:c>
      <x:c r="F7" s="60" t="n">
        <x:f aca="0">IF(C7="","",WEEKNUM(C7,21))</x:f>
        <x:v>9</x:v>
      </x:c>
      <x:c r="G7" s="60" t="str">
        <x:f>IF(C7="","",CHOOSE(WEEKDAY(C7,2),"Lundi","Mardi","Mercredi","Jeudi","Vendredi","Samedi","Dimanche"))</x:f>
        <x:v>Samedi</x:v>
      </x:c>
      <x:c r="H7" s="60" t="str">
        <x:v>08:20</x:v>
      </x:c>
      <x:c r="I7" s="60" t="str">
        <x:v>Matin</x:v>
      </x:c>
      <x:c r="J7" s="101" t="str">
        <x:v>Traitement médical</x:v>
      </x:c>
      <x:c r="K7" s="60" t="str">
        <x:v>Oui</x:v>
      </x:c>
      <x:c r="L7" s="60" t="n">
        <x:v>0</x:v>
      </x:c>
      <x:c r="M7" s="60" t="str">
        <x:v>Production</x:v>
      </x:c>
      <x:c r="N7" s="60" t="str">
        <x:v>Atelier de peinture</x:v>
      </x:c>
      <x:c r="O7" s="60" t="str">
        <x:v>Favre, Michel</x:v>
      </x:c>
      <x:c r="P7" s="60" t="str">
        <x:v>Non</x:v>
      </x:c>
      <x:c r="Q7" s="60" t="str">
        <x:v>Peintre</x:v>
      </x:c>
      <x:c r="R7" s="60" t="n">
        <x:v>3</x:v>
      </x:c>
      <x:c r="S7" s="60" t="str">
        <x:v>Travail courant</x:v>
      </x:c>
      <x:c r="T7" s="60" t="str">
        <x:v>Exposition à une substance</x:v>
      </x:c>
      <x:c r="U7" s="60" t="str">
        <x:v>Yeux</x:v>
      </x:c>
      <x:c r="V7" s="60" t="str">
        <x:v>Projection de produit chimique</x:v>
      </x:c>
      <x:c r="W7" s="60" t="str">
        <x:v>Oui</x:v>
      </x:c>
      <x:c r="X7" s="60" t="str">
        <x:v>Non</x:v>
      </x:c>
      <x:c r="Y7" s="70" t="str">
        <x:v>Peinture de surfaces</x:v>
      </x:c>
      <x:c r="Z7" s="70" t="str">
        <x:v>Projection de solvant lors de l’ouverture du récipient</x:v>
      </x:c>
      <x:c r="AA7" s="70" t="str">
        <x:v>Nouveau collaborateur / tâche peu familière</x:v>
      </x:c>
      <x:c r="AB7" s="70" t="str">
        <x:v>Technique incorrecte utilisée par un nouveau collaborateur. Aucun accompagnement des nouveaux collaborateurs.</x:v>
      </x:c>
      <x:c r="AC7" s="70" t="str">
        <x:v>Insuffisante</x:v>
      </x:c>
      <x:c r="AD7" s="70" t="str">
        <x:v>Du solvant a été projeté dans les yeux lors de l’ouverture d’un récipient. Douche oculaire utilisée. Le collaborateur avait trois mois d’ancienneté dans la fonction.</x:v>
      </x:c>
      <x:c r="AE7" s="70" t="str">
        <x:v>Oui</x:v>
      </x:c>
      <x:c r="AF7" s="70" t="str">
        <x:v>Désigner une personne pour l’accompagnement pendant les six premiers mois. Vérifier le port des lunettes de protection requises.</x:v>
      </x:c>
      <x:c r="AG7" s="71" t="n">
        <x:v>45731</x:v>
      </x:c>
      <x:c r="AH7" s="70" t="str">
        <x:v>Oui</x:v>
      </x:c>
      <x:c r="AI7" s="70"/>
    </x:row>
    <x:row r="8" ht="100" hidden="0" customHeight="1">
      <x:c r="A8" s="57" t="str">
        <x:v>ACC-2025-005</x:v>
      </x:c>
      <x:c r="B8" s="57"/>
      <x:c r="C8" s="58" t="n">
        <x:v>45734</x:v>
      </x:c>
      <x:c r="D8" s="57" t="n">
        <x:f>IF(C8="","",YEAR(C8))</x:f>
        <x:v>2025</x:v>
      </x:c>
      <x:c r="E8" s="57" t="n">
        <x:f>IF(C8="","",MONTH(C8))</x:f>
        <x:v>3</x:v>
      </x:c>
      <x:c r="F8" s="57" t="n">
        <x:f aca="0">IF(C8="","",WEEKNUM(C8,21))</x:f>
        <x:v>12</x:v>
      </x:c>
      <x:c r="G8" s="57" t="str">
        <x:f>IF(C8="","",CHOOSE(WEEKDAY(C8,2),"Lundi","Mardi","Mercredi","Jeudi","Vendredi","Samedi","Dimanche"))</x:f>
        <x:v>Mardi</x:v>
      </x:c>
      <x:c r="H8" s="57" t="str">
        <x:v>10:00</x:v>
      </x:c>
      <x:c r="I8" s="57" t="str">
        <x:v>Matin</x:v>
      </x:c>
      <x:c r="J8" s="100" t="str">
        <x:v>Arrêt de travail</x:v>
      </x:c>
      <x:c r="K8" s="57" t="str">
        <x:v>Oui</x:v>
      </x:c>
      <x:c r="L8" s="57" t="n">
        <x:v>12</x:v>
      </x:c>
      <x:c r="M8" s="57" t="str">
        <x:v>Logistique</x:v>
      </x:c>
      <x:c r="N8" s="57" t="str">
        <x:v>Cour extérieure</x:v>
      </x:c>
      <x:c r="O8" s="57" t="str">
        <x:v>Keller, Petra</x:v>
      </x:c>
      <x:c r="P8" s="57" t="str">
        <x:v>Non</x:v>
      </x:c>
      <x:c r="Q8" s="57" t="str">
        <x:v>Coordinatrice logistique</x:v>
      </x:c>
      <x:c r="R8" s="57" t="n">
        <x:v>60</x:v>
      </x:c>
      <x:c r="S8" s="57" t="str">
        <x:v>Travail courant</x:v>
      </x:c>
      <x:c r="T8" s="57" t="str">
        <x:v>Chute de hauteur</x:v>
      </x:c>
      <x:c r="U8" s="57" t="str">
        <x:v>Cheville/Pied</x:v>
      </x:c>
      <x:c r="V8" s="57" t="str">
        <x:v>Fracture</x:v>
      </x:c>
      <x:c r="W8" s="57" t="str">
        <x:v>Oui</x:v>
      </x:c>
      <x:c r="X8" s="57" t="str">
        <x:v>Oui</x:v>
      </x:c>
      <x:c r="Y8" s="68" t="str">
        <x:v>Déchargement de conteneur</x:v>
      </x:c>
      <x:c r="Z8" s="68" t="str">
        <x:v>Échelon manquant sur l’échelle d’accès au conteneur</x:v>
      </x:c>
      <x:c r="AA8" s="68" t="str">
        <x:v>Défaillance / défaut d’équipement</x:v>
      </x:c>
      <x:c r="AB8" s="68" t="str">
        <x:v>Équipement endommagé maintenu en service. Contrôle avant utilisation non effectué.</x:v>
      </x:c>
      <x:c r="AC8" s="68" t="str">
        <x:v>Aucune mesure de protection</x:v>
      </x:c>
      <x:c r="AD8" s="68" t="str">
        <x:v>La collaboratrice a chuté de 1,2 m d’une échelle de conteneur endommagée et s’est fracturé la cheville. Douze jours d’absence.</x:v>
      </x:c>
      <x:c r="AE8" s="68" t="str">
        <x:v>Oui</x:v>
      </x:c>
      <x:c r="AF8" s="68" t="str">
        <x:v>Retirer l’échelle endommagée du service et la réparer ou la remplacer. Contrôler les échelles de conteneur avant utilisation.</x:v>
      </x:c>
      <x:c r="AG8" s="69" t="n">
        <x:v>45748</x:v>
      </x:c>
      <x:c r="AH8" s="68" t="str">
        <x:v>Oui</x:v>
      </x:c>
      <x:c r="AI8" s="68"/>
    </x:row>
    <x:row r="9" ht="100" hidden="0" customHeight="1">
      <x:c r="A9" s="60" t="str">
        <x:v>ACC-2025-006</x:v>
      </x:c>
      <x:c r="B9" s="60"/>
      <x:c r="C9" s="61" t="n">
        <x:v>45749</x:v>
      </x:c>
      <x:c r="D9" s="60" t="n">
        <x:f>IF(C9="","",YEAR(C9))</x:f>
        <x:v>2025</x:v>
      </x:c>
      <x:c r="E9" s="60" t="n">
        <x:f>IF(C9="","",MONTH(C9))</x:f>
        <x:v>4</x:v>
      </x:c>
      <x:c r="F9" s="60" t="n">
        <x:f aca="0">IF(C9="","",WEEKNUM(C9,21))</x:f>
        <x:v>14</x:v>
      </x:c>
      <x:c r="G9" s="60" t="str">
        <x:f>IF(C9="","",CHOOSE(WEEKDAY(C9,2),"Lundi","Mardi","Mercredi","Jeudi","Vendredi","Samedi","Dimanche"))</x:f>
        <x:v>Mercredi</x:v>
      </x:c>
      <x:c r="H9" s="60" t="str">
        <x:v>13:50</x:v>
      </x:c>
      <x:c r="I9" s="60" t="str">
        <x:v>Matin</x:v>
      </x:c>
      <x:c r="J9" s="101" t="str">
        <x:v>Premiers secours</x:v>
      </x:c>
      <x:c r="K9" s="60" t="str">
        <x:v>Oui</x:v>
      </x:c>
      <x:c r="L9" s="60" t="n">
        <x:v>0</x:v>
      </x:c>
      <x:c r="M9" s="60" t="str">
        <x:v>Production</x:v>
      </x:c>
      <x:c r="N9" s="60" t="str">
        <x:v>Poste de soudage</x:v>
      </x:c>
      <x:c r="O9" s="60" t="str">
        <x:v>Sutter, Urs</x:v>
      </x:c>
      <x:c r="P9" s="60" t="str">
        <x:v>Non</x:v>
      </x:c>
      <x:c r="Q9" s="60" t="str">
        <x:v>Soudeur</x:v>
      </x:c>
      <x:c r="R9" s="60" t="n">
        <x:v>48</x:v>
      </x:c>
      <x:c r="S9" s="60" t="str">
        <x:v>Travail courant</x:v>
      </x:c>
      <x:c r="T9" s="60" t="str">
        <x:v>Heurté par un projectile</x:v>
      </x:c>
      <x:c r="U9" s="60" t="str">
        <x:v>Visage/Tête</x:v>
      </x:c>
      <x:c r="V9" s="60" t="str">
        <x:v>Brûlure thermique</x:v>
      </x:c>
      <x:c r="W9" s="60" t="str">
        <x:v>Oui</x:v>
      </x:c>
      <x:c r="X9" s="60" t="str">
        <x:v>Oui</x:v>
      </x:c>
      <x:c r="Y9" s="70" t="str">
        <x:v>Soudage MIG</x:v>
      </x:c>
      <x:c r="Z9" s="70" t="str">
        <x:v>Projections de soudage au visage lors du bref relevage de la visière</x:v>
      </x:c>
      <x:c r="AA9" s="70" t="str">
        <x:v>Pratique habituelle / culture d’entreprise</x:v>
      </x:c>
      <x:c r="AB9" s="70" t="str">
        <x:v>Visière habituellement relevée entre les passes de soudage. Cette pratique n’a pas été abordée dans l’équipe.</x:v>
      </x:c>
      <x:c r="AC9" s="70" t="str">
        <x:v>Contournée</x:v>
      </x:c>
      <x:c r="AD9" s="70" t="str">
        <x:v>Le soudeur a relevé sa visière entre les passes et a reçu des projections. Brûlure thermique légère. Premiers secours.</x:v>
      </x:c>
      <x:c r="AE9" s="70" t="str">
        <x:v>Oui</x:v>
      </x:c>
      <x:c r="AF9" s="70" t="str">
        <x:v>Informer les soudeurs sur l’utilisation de la visière et appliquer la règle sans exception.</x:v>
      </x:c>
      <x:c r="AG9" s="71" t="n">
        <x:v>45757</x:v>
      </x:c>
      <x:c r="AH9" s="70" t="str">
        <x:v>Oui</x:v>
      </x:c>
      <x:c r="AI9" s="70"/>
    </x:row>
    <x:row r="10" ht="100" hidden="0" customHeight="1">
      <x:c r="A10" s="57" t="str">
        <x:v>ACC-2025-007</x:v>
      </x:c>
      <x:c r="B10" s="57"/>
      <x:c r="C10" s="58" t="n">
        <x:v>45762</x:v>
      </x:c>
      <x:c r="D10" s="57" t="n">
        <x:f>IF(C10="","",YEAR(C10))</x:f>
        <x:v>2025</x:v>
      </x:c>
      <x:c r="E10" s="57" t="n">
        <x:f>IF(C10="","",MONTH(C10))</x:f>
        <x:v>4</x:v>
      </x:c>
      <x:c r="F10" s="57" t="n">
        <x:f aca="0">IF(C10="","",WEEKNUM(C10,21))</x:f>
        <x:v>16</x:v>
      </x:c>
      <x:c r="G10" s="57" t="str">
        <x:f>IF(C10="","",CHOOSE(WEEKDAY(C10,2),"Lundi","Mardi","Mercredi","Jeudi","Vendredi","Samedi","Dimanche"))</x:f>
        <x:v>Mardi</x:v>
      </x:c>
      <x:c r="H10" s="57" t="str">
        <x:v>15:10</x:v>
      </x:c>
      <x:c r="I10" s="57" t="str">
        <x:v>Après-midi</x:v>
      </x:c>
      <x:c r="J10" s="100" t="str">
        <x:v>Presque-accident</x:v>
      </x:c>
      <x:c r="K10" s="57" t="str">
        <x:v>Non</x:v>
      </x:c>
      <x:c r="L10" s="57" t="n">
        <x:v>0</x:v>
      </x:c>
      <x:c r="M10" s="57" t="str">
        <x:v>Entrepôt</x:v>
      </x:c>
      <x:c r="N10" s="57" t="str">
        <x:v>Allée de rayonnages 3</x:v>
      </x:c>
      <x:c r="O10" s="57" t="str">
        <x:v>Egger, Claudia</x:v>
      </x:c>
      <x:c r="P10" s="57" t="str">
        <x:v>Non</x:v>
      </x:c>
      <x:c r="Q10" s="57" t="str">
        <x:v>Préparatrice de commandes</x:v>
      </x:c>
      <x:c r="R10" s="57" t="n">
        <x:v>12</x:v>
      </x:c>
      <x:c r="S10" s="57" t="str">
        <x:v>Travail courant</x:v>
      </x:c>
      <x:c r="T10" s="57" t="str">
        <x:v>Heurté par un objet qui tombe</x:v>
      </x:c>
      <x:c r="U10" s="57" t="str">
        <x:v>Aucune (presque-accident)</x:v>
      </x:c>
      <x:c r="V10" s="57" t="str">
        <x:v>Presque-accident</x:v>
      </x:c>
      <x:c r="W10" s="57" t="str">
        <x:v>Non</x:v>
      </x:c>
      <x:c r="X10" s="57" t="str">
        <x:v>Non</x:v>
      </x:c>
      <x:c r="Y10" s="68" t="str">
        <x:v>Préparation de commandes</x:v>
      </x:c>
      <x:c r="Z10" s="68" t="str">
        <x:v>Palette instable déplacée dans le rayonnage supérieur pendant la préparation de commandes</x:v>
      </x:c>
      <x:c r="AA10" s="68" t="str">
        <x:v>Rayonnage surchargé</x:v>
      </x:c>
      <x:c r="AB10" s="68" t="str">
        <x:v>Rayonnage surchargé. Absence de procédure de contrôle des rayonnages.</x:v>
      </x:c>
      <x:c r="AC10" s="68" t="str">
        <x:v>Aucune mesure de protection</x:v>
      </x:c>
      <x:c r="AD10" s="68" t="str">
        <x:v>Une palette dans le rayonnage supérieur s’est déplacée pendant la préparation de commandes en dessous. Aucune lésion. Presque-accident.</x:v>
      </x:c>
      <x:c r="AE10" s="68" t="str">
        <x:v>Oui</x:v>
      </x:c>
      <x:c r="AF10" s="68" t="str">
        <x:v>Introduire des contrôles des rayonnages et indiquer la charge admissible de chaque emplacement.</x:v>
      </x:c>
      <x:c r="AG10" s="69" t="n">
        <x:v>45777</x:v>
      </x:c>
      <x:c r="AH10" s="68" t="str">
        <x:v>Non</x:v>
      </x:c>
      <x:c r="AI10" s="68"/>
    </x:row>
    <x:row r="11" ht="100" hidden="0" customHeight="1">
      <x:c r="A11" s="60" t="str">
        <x:v>ACC-2025-008</x:v>
      </x:c>
      <x:c r="B11" s="60"/>
      <x:c r="C11" s="61" t="n">
        <x:v>45775</x:v>
      </x:c>
      <x:c r="D11" s="60" t="n">
        <x:f>IF(C11="","",YEAR(C11))</x:f>
        <x:v>2025</x:v>
      </x:c>
      <x:c r="E11" s="60" t="n">
        <x:f>IF(C11="","",MONTH(C11))</x:f>
        <x:v>4</x:v>
      </x:c>
      <x:c r="F11" s="60" t="n">
        <x:f aca="0">IF(C11="","",WEEKNUM(C11,21))</x:f>
        <x:v>18</x:v>
      </x:c>
      <x:c r="G11" s="60" t="str">
        <x:f>IF(C11="","",CHOOSE(WEEKDAY(C11,2),"Lundi","Mardi","Mercredi","Jeudi","Vendredi","Samedi","Dimanche"))</x:f>
        <x:v>Lundi</x:v>
      </x:c>
      <x:c r="H11" s="60" t="str">
        <x:v>09:40</x:v>
      </x:c>
      <x:c r="I11" s="60" t="str">
        <x:v>Matin</x:v>
      </x:c>
      <x:c r="J11" s="101" t="str">
        <x:v>Traitement médical</x:v>
      </x:c>
      <x:c r="K11" s="60" t="str">
        <x:v>Oui</x:v>
      </x:c>
      <x:c r="L11" s="60" t="n">
        <x:v>0</x:v>
      </x:c>
      <x:c r="M11" s="60" t="str">
        <x:v>Maintenance</x:v>
      </x:c>
      <x:c r="N11" s="60" t="str">
        <x:v>Atelier CNC</x:v>
      </x:c>
      <x:c r="O11" s="60" t="str">
        <x:v>Huber, Thomas</x:v>
      </x:c>
      <x:c r="P11" s="60" t="str">
        <x:v>Oui</x:v>
      </x:c>
      <x:c r="Q11" s="60" t="str">
        <x:v>Entreprise externe : électricien</x:v>
      </x:c>
      <x:c r="R11" s="60" t="n">
        <x:v>1</x:v>
      </x:c>
      <x:c r="S11" s="60" t="str">
        <x:v>Travail non courant</x:v>
      </x:c>
      <x:c r="T11" s="60" t="str">
        <x:v>Contact avec une arête vive</x:v>
      </x:c>
      <x:c r="U11" s="60" t="str">
        <x:v>Main/Doigts</x:v>
      </x:c>
      <x:c r="V11" s="60" t="str">
        <x:v>Plaie lacérée</x:v>
      </x:c>
      <x:c r="W11" s="60" t="str">
        <x:v>Oui</x:v>
      </x:c>
      <x:c r="X11" s="60" t="str">
        <x:v>Non</x:v>
      </x:c>
      <x:c r="Y11" s="70" t="str">
        <x:v>Installation de tableau électrique</x:v>
      </x:c>
      <x:c r="Z11" s="70" t="str">
        <x:v>Coupure sur une arête de tôle pendant le passage des câbles</x:v>
      </x:c>
      <x:c r="AA11" s="70" t="str">
        <x:v>EPI non porté</x:v>
      </x:c>
      <x:c r="AB11" s="70" t="str">
        <x:v>Électricien de l’entreprise externe sans gants. Accueil sécurité de l’entreprise externe incomplet.</x:v>
      </x:c>
      <x:c r="AC11" s="70" t="str">
        <x:v>Aucune mesure de protection</x:v>
      </x:c>
      <x:c r="AD11" s="70" t="str">
        <x:v>L’électricien de l’entreprise externe s’est coupé la main sur une arête de tôle. Suture nécessaire. Il n’avait reçu aucune information sur les règles relatives aux EPI.</x:v>
      </x:c>
      <x:c r="AE11" s="70" t="str">
        <x:v>Oui</x:v>
      </x:c>
      <x:c r="AF11" s="70" t="str">
        <x:v>Exiger un contrôle des EPI signé lors de l’accueil sécurité sur le site.</x:v>
      </x:c>
      <x:c r="AG11" s="71" t="n">
        <x:v>45787</x:v>
      </x:c>
      <x:c r="AH11" s="70" t="str">
        <x:v>Oui</x:v>
      </x:c>
      <x:c r="AI11" s="70"/>
    </x:row>
    <x:row r="12" ht="100" hidden="0" customHeight="1">
      <x:c r="A12" s="57" t="str">
        <x:v>ACC-2025-009</x:v>
      </x:c>
      <x:c r="B12" s="57"/>
      <x:c r="C12" s="58" t="n">
        <x:v>45789</x:v>
      </x:c>
      <x:c r="D12" s="57" t="n">
        <x:f>IF(C12="","",YEAR(C12))</x:f>
        <x:v>2025</x:v>
      </x:c>
      <x:c r="E12" s="57" t="n">
        <x:f>IF(C12="","",MONTH(C12))</x:f>
        <x:v>5</x:v>
      </x:c>
      <x:c r="F12" s="57" t="n">
        <x:f aca="0">IF(C12="","",WEEKNUM(C12,21))</x:f>
        <x:v>20</x:v>
      </x:c>
      <x:c r="G12" s="57" t="str">
        <x:f>IF(C12="","",CHOOSE(WEEKDAY(C12,2),"Lundi","Mardi","Mercredi","Jeudi","Vendredi","Samedi","Dimanche"))</x:f>
        <x:v>Lundi</x:v>
      </x:c>
      <x:c r="H12" s="57" t="str">
        <x:v>02:20</x:v>
      </x:c>
      <x:c r="I12" s="57" t="str">
        <x:v>Nuit</x:v>
      </x:c>
      <x:c r="J12" s="100" t="str">
        <x:v>Presque-accident</x:v>
      </x:c>
      <x:c r="K12" s="57" t="str">
        <x:v>Non</x:v>
      </x:c>
      <x:c r="L12" s="57" t="n">
        <x:v>0</x:v>
      </x:c>
      <x:c r="M12" s="57" t="str">
        <x:v>Production</x:v>
      </x:c>
      <x:c r="N12" s="57" t="str">
        <x:v>Halle de montage B</x:v>
      </x:c>
      <x:c r="O12" s="57" t="str">
        <x:v>Maurer, Nicole</x:v>
      </x:c>
      <x:c r="P12" s="57" t="str">
        <x:v>Non</x:v>
      </x:c>
      <x:c r="Q12" s="57" t="str">
        <x:v>Technicienne de montage</x:v>
      </x:c>
      <x:c r="R12" s="57" t="n">
        <x:v>18</x:v>
      </x:c>
      <x:c r="S12" s="57" t="str">
        <x:v>Maintenance</x:v>
      </x:c>
      <x:c r="T12" s="57" t="str">
        <x:v>Exposition à une énergie / défaut de consignation</x:v>
      </x:c>
      <x:c r="U12" s="57" t="str">
        <x:v>Aucune (presque-accident)</x:v>
      </x:c>
      <x:c r="V12" s="57" t="str">
        <x:v>Presque-accident</x:v>
      </x:c>
      <x:c r="W12" s="57" t="str">
        <x:v>Oui</x:v>
      </x:c>
      <x:c r="X12" s="57" t="str">
        <x:v>Oui</x:v>
      </x:c>
      <x:c r="Y12" s="68" t="str">
        <x:v>Maintenance de machine</x:v>
      </x:c>
      <x:c r="Z12" s="68" t="str">
        <x:v>Machine redémarrée pendant la maintenance alors que la protection était retirée</x:v>
      </x:c>
      <x:c r="AA12" s="68" t="str">
        <x:v>Consignation non appliquée</x:v>
      </x:c>
      <x:c r="AB12" s="68" t="str">
        <x:v>Sectionneur muni d’une étiquette mais sans cadenas. Exigences de consignation non appliquées.</x:v>
      </x:c>
      <x:c r="AC12" s="68" t="str">
        <x:v>Insuffisante</x:v>
      </x:c>
      <x:c r="AD12" s="68" t="str">
        <x:v>Un collègue a redémarré la machine pendant la maintenance. La protection était retirée. Aucune lésion.</x:v>
      </x:c>
      <x:c r="AE12" s="68" t="str">
        <x:v>Oui</x:v>
      </x:c>
      <x:c r="AF12" s="68" t="str">
        <x:v>Exiger un cadenas personnel pour toute intervention de maintenance. Un moraillon de consignation multiple a été installé.</x:v>
      </x:c>
      <x:c r="AG12" s="69" t="n">
        <x:v>45803</x:v>
      </x:c>
      <x:c r="AH12" s="68" t="str">
        <x:v>Non</x:v>
      </x:c>
      <x:c r="AI12" s="68" t="str">
        <x:v>Équipe de nuit. La fatigue a été relevée comme facteur contributif.</x:v>
      </x:c>
    </x:row>
    <x:row r="13" ht="100" hidden="0" customHeight="1">
      <x:c r="A13" s="60" t="str">
        <x:v>ACC-2025-010</x:v>
      </x:c>
      <x:c r="B13" s="60"/>
      <x:c r="C13" s="61" t="n">
        <x:v>45811</x:v>
      </x:c>
      <x:c r="D13" s="60" t="n">
        <x:f>IF(C13="","",YEAR(C13))</x:f>
        <x:v>2025</x:v>
      </x:c>
      <x:c r="E13" s="60" t="n">
        <x:f>IF(C13="","",MONTH(C13))</x:f>
        <x:v>6</x:v>
      </x:c>
      <x:c r="F13" s="60" t="n">
        <x:f aca="0">IF(C13="","",WEEKNUM(C13,21))</x:f>
        <x:v>23</x:v>
      </x:c>
      <x:c r="G13" s="60" t="str">
        <x:f>IF(C13="","",CHOOSE(WEEKDAY(C13,2),"Lundi","Mardi","Mercredi","Jeudi","Vendredi","Samedi","Dimanche"))</x:f>
        <x:v>Mardi</x:v>
      </x:c>
      <x:c r="H13" s="60" t="str">
        <x:v>08:05</x:v>
      </x:c>
      <x:c r="I13" s="60" t="str">
        <x:v>Matin</x:v>
      </x:c>
      <x:c r="J13" s="101" t="str">
        <x:v>Premiers secours</x:v>
      </x:c>
      <x:c r="K13" s="60" t="str">
        <x:v>Oui</x:v>
      </x:c>
      <x:c r="L13" s="60" t="n">
        <x:v>0</x:v>
      </x:c>
      <x:c r="M13" s="60" t="str">
        <x:v>Bureaux</x:v>
      </x:c>
      <x:c r="N13" s="60" t="str">
        <x:v>Cage d’escalier B</x:v>
      </x:c>
      <x:c r="O13" s="60" t="str">
        <x:v>Brunner, Andreas</x:v>
      </x:c>
      <x:c r="P13" s="60" t="str">
        <x:v>Non</x:v>
      </x:c>
      <x:c r="Q13" s="60" t="str">
        <x:v>Collaborateur administratif</x:v>
      </x:c>
      <x:c r="R13" s="60" t="n">
        <x:v>84</x:v>
      </x:c>
      <x:c r="S13" s="60" t="str">
        <x:v>Travail courant</x:v>
      </x:c>
      <x:c r="T13" s="60" t="str">
        <x:v>Glissade / trébuchement / chute dans un escalier</x:v>
      </x:c>
      <x:c r="U13" s="60" t="str">
        <x:v>Poignet/Bras</x:v>
      </x:c>
      <x:c r="V13" s="60" t="str">
        <x:v>Entorse</x:v>
      </x:c>
      <x:c r="W13" s="60" t="str">
        <x:v>Non</x:v>
      </x:c>
      <x:c r="X13" s="60" t="str">
        <x:v>Non</x:v>
      </x:c>
      <x:c r="Y13" s="70" t="str">
        <x:v>Déplacement courant</x:v>
      </x:c>
      <x:c r="Z13" s="70" t="str">
        <x:v>Dernière marche manquée. Nez de marche sans protection antidérapante.</x:v>
      </x:c>
      <x:c r="AA13" s="70" t="str">
        <x:v>Surface de circulation usée</x:v>
      </x:c>
      <x:c r="AB13" s="70" t="str">
        <x:v>Nez de marche usé. Lacune dans les contrôles du bâtiment.</x:v>
      </x:c>
      <x:c r="AC13" s="70" t="str">
        <x:v>Insuffisante</x:v>
      </x:c>
      <x:c r="AD13" s="70" t="str">
        <x:v>Le collaborateur a glissé sur un nez de marche usé et s’est fait une entorse au poignet. Premiers secours.</x:v>
      </x:c>
      <x:c r="AE13" s="70" t="str">
        <x:v>Oui</x:v>
      </x:c>
      <x:c r="AF13" s="70" t="str">
        <x:v>Remplacer tous les nez de marche. Un contrôle du bâtiment est prévu.</x:v>
      </x:c>
      <x:c r="AG13" s="71" t="n">
        <x:v>45823</x:v>
      </x:c>
      <x:c r="AH13" s="70" t="str">
        <x:v>Non</x:v>
      </x:c>
      <x:c r="AI13" s="70"/>
    </x:row>
    <x:row r="14">
      <x:c r="A14" s="43"/>
      <x:c r="B14" s="43"/>
      <x:c r="C14" s="43"/>
      <x:c r="D14" s="43" t="str">
        <x:f>IF(C14="","",YEAR(C14))</x:f>
      </x:c>
      <x:c r="E14" s="43" t="str">
        <x:f>IF(C14="","",MONTH(C14))</x:f>
      </x:c>
      <x:c r="F14" s="43" t="str">
        <x:f>IF(C14="","",WEEKNUM(C14,21))</x:f>
      </x:c>
      <x:c r="G14" s="43" t="str">
        <x:f>IF(C14="","",CHOOSE(WEEKDAY(C14,2),"Lundi","Mardi","Mercredi","Jeudi","Vendredi","Samedi","Dimanche"))</x:f>
      </x:c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  <x:c r="AA14" s="43"/>
      <x:c r="AB14" s="43"/>
      <x:c r="AC14" s="43"/>
      <x:c r="AD14" s="43"/>
      <x:c r="AE14" s="43"/>
      <x:c r="AF14" s="43"/>
      <x:c r="AG14" s="67"/>
      <x:c r="AH14" s="43"/>
      <x:c r="AI14" s="43"/>
    </x:row>
    <x:row r="15">
      <x:c r="A15" s="43"/>
      <x:c r="B15" s="43"/>
      <x:c r="C15" s="43"/>
      <x:c r="D15" s="43" t="str">
        <x:f>IF(C15="","",YEAR(C15))</x:f>
      </x:c>
      <x:c r="E15" s="43" t="str">
        <x:f>IF(C15="","",MONTH(C15))</x:f>
      </x:c>
      <x:c r="F15" s="43" t="str">
        <x:f>IF(C15="","",WEEKNUM(C15,21))</x:f>
      </x:c>
      <x:c r="G15" s="43" t="str">
        <x:f>IF(C15="","",CHOOSE(WEEKDAY(C15,2),"Lundi","Mardi","Mercredi","Jeudi","Vendredi","Samedi","Dimanche"))</x:f>
      </x:c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  <x:c r="AA15" s="43"/>
      <x:c r="AB15" s="43"/>
      <x:c r="AC15" s="43"/>
      <x:c r="AD15" s="43"/>
      <x:c r="AE15" s="43"/>
      <x:c r="AF15" s="43"/>
      <x:c r="AG15" s="67"/>
      <x:c r="AH15" s="43"/>
      <x:c r="AI15" s="43"/>
    </x:row>
    <x:row r="16">
      <x:c r="A16" s="43"/>
      <x:c r="B16" s="43"/>
      <x:c r="C16" s="43"/>
      <x:c r="D16" s="43" t="str">
        <x:f>IF(C16="","",YEAR(C16))</x:f>
      </x:c>
      <x:c r="E16" s="43" t="str">
        <x:f>IF(C16="","",MONTH(C16))</x:f>
      </x:c>
      <x:c r="F16" s="43" t="str">
        <x:f>IF(C16="","",WEEKNUM(C16,21))</x:f>
      </x:c>
      <x:c r="G16" s="43" t="str">
        <x:f>IF(C16="","",CHOOSE(WEEKDAY(C16,2),"Lundi","Mardi","Mercredi","Jeudi","Vendredi","Samedi","Dimanche"))</x:f>
      </x:c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  <x:c r="AA16" s="43"/>
      <x:c r="AB16" s="43"/>
      <x:c r="AC16" s="43"/>
      <x:c r="AD16" s="43"/>
      <x:c r="AE16" s="43"/>
      <x:c r="AF16" s="43"/>
      <x:c r="AG16" s="67"/>
      <x:c r="AH16" s="43"/>
      <x:c r="AI16" s="43"/>
    </x:row>
    <x:row r="17">
      <x:c r="A17" s="43"/>
      <x:c r="B17" s="43"/>
      <x:c r="C17" s="43"/>
      <x:c r="D17" s="43" t="str">
        <x:f>IF(C17="","",YEAR(C17))</x:f>
      </x:c>
      <x:c r="E17" s="43" t="str">
        <x:f>IF(C17="","",MONTH(C17))</x:f>
      </x:c>
      <x:c r="F17" s="43" t="str">
        <x:f>IF(C17="","",WEEKNUM(C17,21))</x:f>
      </x:c>
      <x:c r="G17" s="43" t="str">
        <x:f>IF(C17="","",CHOOSE(WEEKDAY(C17,2),"Lundi","Mardi","Mercredi","Jeudi","Vendredi","Samedi","Dimanche"))</x:f>
      </x:c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  <x:c r="AA17" s="43"/>
      <x:c r="AB17" s="43"/>
      <x:c r="AC17" s="43"/>
      <x:c r="AD17" s="43"/>
      <x:c r="AE17" s="43"/>
      <x:c r="AF17" s="43"/>
      <x:c r="AG17" s="67"/>
      <x:c r="AH17" s="43"/>
      <x:c r="AI17" s="43"/>
    </x:row>
    <x:row r="18">
      <x:c r="A18" s="43"/>
      <x:c r="B18" s="43"/>
      <x:c r="C18" s="43"/>
      <x:c r="D18" s="43" t="str">
        <x:f>IF(C18="","",YEAR(C18))</x:f>
      </x:c>
      <x:c r="E18" s="43" t="str">
        <x:f>IF(C18="","",MONTH(C18))</x:f>
      </x:c>
      <x:c r="F18" s="43" t="str">
        <x:f>IF(C18="","",WEEKNUM(C18,21))</x:f>
      </x:c>
      <x:c r="G18" s="43" t="str">
        <x:f>IF(C18="","",CHOOSE(WEEKDAY(C18,2),"Lundi","Mardi","Mercredi","Jeudi","Vendredi","Samedi","Dimanche"))</x:f>
      </x:c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  <x:c r="AA18" s="43"/>
      <x:c r="AB18" s="43"/>
      <x:c r="AC18" s="43"/>
      <x:c r="AD18" s="43"/>
      <x:c r="AE18" s="43"/>
      <x:c r="AF18" s="43"/>
      <x:c r="AG18" s="67"/>
      <x:c r="AH18" s="43"/>
      <x:c r="AI18" s="43"/>
    </x:row>
    <x:row r="19">
      <x:c r="A19" s="43"/>
      <x:c r="B19" s="43"/>
      <x:c r="C19" s="43"/>
      <x:c r="D19" s="43" t="str">
        <x:f>IF(C19="","",YEAR(C19))</x:f>
      </x:c>
      <x:c r="E19" s="43" t="str">
        <x:f>IF(C19="","",MONTH(C19))</x:f>
      </x:c>
      <x:c r="F19" s="43" t="str">
        <x:f>IF(C19="","",WEEKNUM(C19,21))</x:f>
      </x:c>
      <x:c r="G19" s="43" t="str">
        <x:f>IF(C19="","",CHOOSE(WEEKDAY(C19,2),"Lundi","Mardi","Mercredi","Jeudi","Vendredi","Samedi","Dimanche"))</x:f>
      </x:c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  <x:c r="AA19" s="43"/>
      <x:c r="AB19" s="43"/>
      <x:c r="AC19" s="43"/>
      <x:c r="AD19" s="43"/>
      <x:c r="AE19" s="43"/>
      <x:c r="AF19" s="43"/>
      <x:c r="AG19" s="67"/>
      <x:c r="AH19" s="43"/>
      <x:c r="AI19" s="43"/>
    </x:row>
    <x:row r="20">
      <x:c r="A20" s="43"/>
      <x:c r="B20" s="43"/>
      <x:c r="C20" s="43"/>
      <x:c r="D20" s="43" t="str">
        <x:f>IF(C20="","",YEAR(C20))</x:f>
      </x:c>
      <x:c r="E20" s="43" t="str">
        <x:f>IF(C20="","",MONTH(C20))</x:f>
      </x:c>
      <x:c r="F20" s="43" t="str">
        <x:f>IF(C20="","",WEEKNUM(C20,21))</x:f>
      </x:c>
      <x:c r="G20" s="43" t="str">
        <x:f>IF(C20="","",CHOOSE(WEEKDAY(C20,2),"Lundi","Mardi","Mercredi","Jeudi","Vendredi","Samedi","Dimanche"))</x:f>
      </x:c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  <x:c r="AA20" s="43"/>
      <x:c r="AB20" s="43"/>
      <x:c r="AC20" s="43"/>
      <x:c r="AD20" s="43"/>
      <x:c r="AE20" s="43"/>
      <x:c r="AF20" s="43"/>
      <x:c r="AG20" s="67"/>
      <x:c r="AH20" s="43"/>
      <x:c r="AI20" s="43"/>
    </x:row>
    <x:row r="21">
      <x:c r="A21" s="43"/>
      <x:c r="B21" s="43"/>
      <x:c r="C21" s="43"/>
      <x:c r="D21" s="43" t="str">
        <x:f>IF(C21="","",YEAR(C21))</x:f>
      </x:c>
      <x:c r="E21" s="43" t="str">
        <x:f>IF(C21="","",MONTH(C21))</x:f>
      </x:c>
      <x:c r="F21" s="43" t="str">
        <x:f>IF(C21="","",WEEKNUM(C21,21))</x:f>
      </x:c>
      <x:c r="G21" s="43" t="str">
        <x:f>IF(C21="","",CHOOSE(WEEKDAY(C21,2),"Lundi","Mardi","Mercredi","Jeudi","Vendredi","Samedi","Dimanche"))</x:f>
      </x:c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  <x:c r="AA21" s="43"/>
      <x:c r="AB21" s="43"/>
      <x:c r="AC21" s="43"/>
      <x:c r="AD21" s="43"/>
      <x:c r="AE21" s="43"/>
      <x:c r="AF21" s="43"/>
      <x:c r="AG21" s="67"/>
      <x:c r="AH21" s="43"/>
      <x:c r="AI21" s="43"/>
    </x:row>
    <x:row r="22">
      <x:c r="A22" s="43"/>
      <x:c r="B22" s="43"/>
      <x:c r="C22" s="43"/>
      <x:c r="D22" s="43" t="str">
        <x:f>IF(C22="","",YEAR(C22))</x:f>
      </x:c>
      <x:c r="E22" s="43" t="str">
        <x:f>IF(C22="","",MONTH(C22))</x:f>
      </x:c>
      <x:c r="F22" s="43" t="str">
        <x:f>IF(C22="","",WEEKNUM(C22,21))</x:f>
      </x:c>
      <x:c r="G22" s="43" t="str">
        <x:f>IF(C22="","",CHOOSE(WEEKDAY(C22,2),"Lundi","Mardi","Mercredi","Jeudi","Vendredi","Samedi","Dimanche"))</x:f>
      </x:c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  <x:c r="AA22" s="43"/>
      <x:c r="AB22" s="43"/>
      <x:c r="AC22" s="43"/>
      <x:c r="AD22" s="43"/>
      <x:c r="AE22" s="43"/>
      <x:c r="AF22" s="43"/>
      <x:c r="AG22" s="67"/>
      <x:c r="AH22" s="43"/>
      <x:c r="AI22" s="43"/>
    </x:row>
    <x:row r="23">
      <x:c r="A23" s="43"/>
      <x:c r="B23" s="43"/>
      <x:c r="C23" s="43"/>
      <x:c r="D23" s="43" t="str">
        <x:f>IF(C23="","",YEAR(C23))</x:f>
      </x:c>
      <x:c r="E23" s="43" t="str">
        <x:f>IF(C23="","",MONTH(C23))</x:f>
      </x:c>
      <x:c r="F23" s="43" t="str">
        <x:f>IF(C23="","",WEEKNUM(C23,21))</x:f>
      </x:c>
      <x:c r="G23" s="43" t="str">
        <x:f>IF(C23="","",CHOOSE(WEEKDAY(C23,2),"Lundi","Mardi","Mercredi","Jeudi","Vendredi","Samedi","Dimanche"))</x:f>
      </x:c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  <x:c r="AA23" s="43"/>
      <x:c r="AB23" s="43"/>
      <x:c r="AC23" s="43"/>
      <x:c r="AD23" s="43"/>
      <x:c r="AE23" s="43"/>
      <x:c r="AF23" s="43"/>
      <x:c r="AG23" s="67"/>
      <x:c r="AH23" s="43"/>
      <x:c r="AI23" s="43"/>
    </x:row>
    <x:row r="24">
      <x:c r="A24" s="43"/>
      <x:c r="B24" s="43"/>
      <x:c r="C24" s="43"/>
      <x:c r="D24" s="43" t="str">
        <x:f>IF(C24="","",YEAR(C24))</x:f>
      </x:c>
      <x:c r="E24" s="43" t="str">
        <x:f>IF(C24="","",MONTH(C24))</x:f>
      </x:c>
      <x:c r="F24" s="43" t="str">
        <x:f>IF(C24="","",WEEKNUM(C24,21))</x:f>
      </x:c>
      <x:c r="G24" s="43" t="str">
        <x:f>IF(C24="","",CHOOSE(WEEKDAY(C24,2),"Lundi","Mardi","Mercredi","Jeudi","Vendredi","Samedi","Dimanche"))</x:f>
      </x:c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  <x:c r="AA24" s="43"/>
      <x:c r="AB24" s="43"/>
      <x:c r="AC24" s="43"/>
      <x:c r="AD24" s="43"/>
      <x:c r="AE24" s="43"/>
      <x:c r="AF24" s="43"/>
      <x:c r="AG24" s="67"/>
      <x:c r="AH24" s="43"/>
      <x:c r="AI24" s="43"/>
    </x:row>
    <x:row r="25">
      <x:c r="A25" s="43"/>
      <x:c r="B25" s="43"/>
      <x:c r="C25" s="43"/>
      <x:c r="D25" s="43" t="str">
        <x:f>IF(C25="","",YEAR(C25))</x:f>
      </x:c>
      <x:c r="E25" s="43" t="str">
        <x:f>IF(C25="","",MONTH(C25))</x:f>
      </x:c>
      <x:c r="F25" s="43" t="str">
        <x:f>IF(C25="","",WEEKNUM(C25,21))</x:f>
      </x:c>
      <x:c r="G25" s="43" t="str">
        <x:f>IF(C25="","",CHOOSE(WEEKDAY(C25,2),"Lundi","Mardi","Mercredi","Jeudi","Vendredi","Samedi","Dimanche"))</x:f>
      </x:c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  <x:c r="AA25" s="43"/>
      <x:c r="AB25" s="43"/>
      <x:c r="AC25" s="43"/>
      <x:c r="AD25" s="43"/>
      <x:c r="AE25" s="43"/>
      <x:c r="AF25" s="43"/>
      <x:c r="AG25" s="67"/>
      <x:c r="AH25" s="43"/>
      <x:c r="AI25" s="43"/>
    </x:row>
    <x:row r="26">
      <x:c r="A26" s="43"/>
      <x:c r="B26" s="43"/>
      <x:c r="C26" s="43"/>
      <x:c r="D26" s="43" t="str">
        <x:f>IF(C26="","",YEAR(C26))</x:f>
      </x:c>
      <x:c r="E26" s="43" t="str">
        <x:f>IF(C26="","",MONTH(C26))</x:f>
      </x:c>
      <x:c r="F26" s="43" t="str">
        <x:f>IF(C26="","",WEEKNUM(C26,21))</x:f>
      </x:c>
      <x:c r="G26" s="43" t="str">
        <x:f>IF(C26="","",CHOOSE(WEEKDAY(C26,2),"Lundi","Mardi","Mercredi","Jeudi","Vendredi","Samedi","Dimanche"))</x:f>
      </x:c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  <x:c r="AA26" s="43"/>
      <x:c r="AB26" s="43"/>
      <x:c r="AC26" s="43"/>
      <x:c r="AD26" s="43"/>
      <x:c r="AE26" s="43"/>
      <x:c r="AF26" s="43"/>
      <x:c r="AG26" s="67"/>
      <x:c r="AH26" s="43"/>
      <x:c r="AI26" s="43"/>
    </x:row>
    <x:row r="27">
      <x:c r="A27" s="43"/>
      <x:c r="B27" s="43"/>
      <x:c r="C27" s="43"/>
      <x:c r="D27" s="43" t="str">
        <x:f>IF(C27="","",YEAR(C27))</x:f>
      </x:c>
      <x:c r="E27" s="43" t="str">
        <x:f>IF(C27="","",MONTH(C27))</x:f>
      </x:c>
      <x:c r="F27" s="43" t="str">
        <x:f>IF(C27="","",WEEKNUM(C27,21))</x:f>
      </x:c>
      <x:c r="G27" s="43" t="str">
        <x:f>IF(C27="","",CHOOSE(WEEKDAY(C27,2),"Lundi","Mardi","Mercredi","Jeudi","Vendredi","Samedi","Dimanche"))</x:f>
      </x:c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  <x:c r="AA27" s="43"/>
      <x:c r="AB27" s="43"/>
      <x:c r="AC27" s="43"/>
      <x:c r="AD27" s="43"/>
      <x:c r="AE27" s="43"/>
      <x:c r="AF27" s="43"/>
      <x:c r="AG27" s="67"/>
      <x:c r="AH27" s="43"/>
      <x:c r="AI27" s="43"/>
    </x:row>
    <x:row r="28">
      <x:c r="A28" s="43"/>
      <x:c r="B28" s="43"/>
      <x:c r="C28" s="43"/>
      <x:c r="D28" s="43" t="str">
        <x:f>IF(C28="","",YEAR(C28))</x:f>
      </x:c>
      <x:c r="E28" s="43" t="str">
        <x:f>IF(C28="","",MONTH(C28))</x:f>
      </x:c>
      <x:c r="F28" s="43" t="str">
        <x:f>IF(C28="","",WEEKNUM(C28,21))</x:f>
      </x:c>
      <x:c r="G28" s="43" t="str">
        <x:f>IF(C28="","",CHOOSE(WEEKDAY(C28,2),"Lundi","Mardi","Mercredi","Jeudi","Vendredi","Samedi","Dimanche"))</x:f>
      </x:c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  <x:c r="AA28" s="43"/>
      <x:c r="AB28" s="43"/>
      <x:c r="AC28" s="43"/>
      <x:c r="AD28" s="43"/>
      <x:c r="AE28" s="43"/>
      <x:c r="AF28" s="43"/>
      <x:c r="AG28" s="67"/>
      <x:c r="AH28" s="43"/>
      <x:c r="AI28" s="43"/>
    </x:row>
    <x:row r="29">
      <x:c r="A29" s="43"/>
      <x:c r="B29" s="43"/>
      <x:c r="C29" s="43"/>
      <x:c r="D29" s="43" t="str">
        <x:f>IF(C29="","",YEAR(C29))</x:f>
      </x:c>
      <x:c r="E29" s="43" t="str">
        <x:f>IF(C29="","",MONTH(C29))</x:f>
      </x:c>
      <x:c r="F29" s="43" t="str">
        <x:f>IF(C29="","",WEEKNUM(C29,21))</x:f>
      </x:c>
      <x:c r="G29" s="43" t="str">
        <x:f>IF(C29="","",CHOOSE(WEEKDAY(C29,2),"Lundi","Mardi","Mercredi","Jeudi","Vendredi","Samedi","Dimanche"))</x:f>
      </x:c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  <x:c r="AA29" s="43"/>
      <x:c r="AB29" s="43"/>
      <x:c r="AC29" s="43"/>
      <x:c r="AD29" s="43"/>
      <x:c r="AE29" s="43"/>
      <x:c r="AF29" s="43"/>
      <x:c r="AG29" s="67"/>
      <x:c r="AH29" s="43"/>
      <x:c r="AI29" s="43"/>
    </x:row>
    <x:row r="30">
      <x:c r="A30" s="43"/>
      <x:c r="B30" s="43"/>
      <x:c r="C30" s="43"/>
      <x:c r="D30" s="43" t="str">
        <x:f>IF(C30="","",YEAR(C30))</x:f>
      </x:c>
      <x:c r="E30" s="43" t="str">
        <x:f>IF(C30="","",MONTH(C30))</x:f>
      </x:c>
      <x:c r="F30" s="43" t="str">
        <x:f>IF(C30="","",WEEKNUM(C30,21))</x:f>
      </x:c>
      <x:c r="G30" s="43" t="str">
        <x:f>IF(C30="","",CHOOSE(WEEKDAY(C30,2),"Lundi","Mardi","Mercredi","Jeudi","Vendredi","Samedi","Dimanche"))</x:f>
      </x:c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  <x:c r="AA30" s="43"/>
      <x:c r="AB30" s="43"/>
      <x:c r="AC30" s="43"/>
      <x:c r="AD30" s="43"/>
      <x:c r="AE30" s="43"/>
      <x:c r="AF30" s="43"/>
      <x:c r="AG30" s="67"/>
      <x:c r="AH30" s="43"/>
      <x:c r="AI30" s="43"/>
    </x:row>
    <x:row r="31">
      <x:c r="A31" s="43"/>
      <x:c r="B31" s="43"/>
      <x:c r="C31" s="43"/>
      <x:c r="D31" s="43" t="str">
        <x:f>IF(C31="","",YEAR(C31))</x:f>
      </x:c>
      <x:c r="E31" s="43" t="str">
        <x:f>IF(C31="","",MONTH(C31))</x:f>
      </x:c>
      <x:c r="F31" s="43" t="str">
        <x:f>IF(C31="","",WEEKNUM(C31,21))</x:f>
      </x:c>
      <x:c r="G31" s="43" t="str">
        <x:f>IF(C31="","",CHOOSE(WEEKDAY(C31,2),"Lundi","Mardi","Mercredi","Jeudi","Vendredi","Samedi","Dimanche"))</x:f>
      </x:c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  <x:c r="AA31" s="43"/>
      <x:c r="AB31" s="43"/>
      <x:c r="AC31" s="43"/>
      <x:c r="AD31" s="43"/>
      <x:c r="AE31" s="43"/>
      <x:c r="AF31" s="43"/>
      <x:c r="AG31" s="67"/>
      <x:c r="AH31" s="43"/>
      <x:c r="AI31" s="43"/>
    </x:row>
    <x:row r="32">
      <x:c r="A32" s="43"/>
      <x:c r="B32" s="43"/>
      <x:c r="C32" s="43"/>
      <x:c r="D32" s="43" t="str">
        <x:f>IF(C32="","",YEAR(C32))</x:f>
      </x:c>
      <x:c r="E32" s="43" t="str">
        <x:f>IF(C32="","",MONTH(C32))</x:f>
      </x:c>
      <x:c r="F32" s="43" t="str">
        <x:f>IF(C32="","",WEEKNUM(C32,21))</x:f>
      </x:c>
      <x:c r="G32" s="43" t="str">
        <x:f>IF(C32="","",CHOOSE(WEEKDAY(C32,2),"Lundi","Mardi","Mercredi","Jeudi","Vendredi","Samedi","Dimanche"))</x:f>
      </x:c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  <x:c r="AA32" s="43"/>
      <x:c r="AB32" s="43"/>
      <x:c r="AC32" s="43"/>
      <x:c r="AD32" s="43"/>
      <x:c r="AE32" s="43"/>
      <x:c r="AF32" s="43"/>
      <x:c r="AG32" s="67"/>
      <x:c r="AH32" s="43"/>
      <x:c r="AI32" s="43"/>
    </x:row>
    <x:row r="33">
      <x:c r="A33" s="43"/>
      <x:c r="B33" s="43"/>
      <x:c r="C33" s="43"/>
      <x:c r="D33" s="43" t="str">
        <x:f>IF(C33="","",YEAR(C33))</x:f>
      </x:c>
      <x:c r="E33" s="43" t="str">
        <x:f>IF(C33="","",MONTH(C33))</x:f>
      </x:c>
      <x:c r="F33" s="43" t="str">
        <x:f>IF(C33="","",WEEKNUM(C33,21))</x:f>
      </x:c>
      <x:c r="G33" s="43" t="str">
        <x:f>IF(C33="","",CHOOSE(WEEKDAY(C33,2),"Lundi","Mardi","Mercredi","Jeudi","Vendredi","Samedi","Dimanche"))</x:f>
      </x:c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  <x:c r="AA33" s="43"/>
      <x:c r="AB33" s="43"/>
      <x:c r="AC33" s="43"/>
      <x:c r="AD33" s="43"/>
      <x:c r="AE33" s="43"/>
      <x:c r="AF33" s="43"/>
      <x:c r="AG33" s="67"/>
      <x:c r="AH33" s="43"/>
      <x:c r="AI33" s="43"/>
    </x:row>
    <x:row r="34">
      <x:c r="A34" s="43"/>
      <x:c r="B34" s="43"/>
      <x:c r="C34" s="43"/>
      <x:c r="D34" s="43" t="str">
        <x:f>IF(C34="","",YEAR(C34))</x:f>
      </x:c>
      <x:c r="E34" s="43" t="str">
        <x:f>IF(C34="","",MONTH(C34))</x:f>
      </x:c>
      <x:c r="F34" s="43" t="str">
        <x:f>IF(C34="","",WEEKNUM(C34,21))</x:f>
      </x:c>
      <x:c r="G34" s="43" t="str">
        <x:f>IF(C34="","",CHOOSE(WEEKDAY(C34,2),"Lundi","Mardi","Mercredi","Jeudi","Vendredi","Samedi","Dimanche"))</x:f>
      </x:c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  <x:c r="AA34" s="43"/>
      <x:c r="AB34" s="43"/>
      <x:c r="AC34" s="43"/>
      <x:c r="AD34" s="43"/>
      <x:c r="AE34" s="43"/>
      <x:c r="AF34" s="43"/>
      <x:c r="AG34" s="67"/>
      <x:c r="AH34" s="43"/>
      <x:c r="AI34" s="43"/>
    </x:row>
    <x:row r="35">
      <x:c r="A35" s="43"/>
      <x:c r="B35" s="43"/>
      <x:c r="C35" s="43"/>
      <x:c r="D35" s="43" t="str">
        <x:f>IF(C35="","",YEAR(C35))</x:f>
      </x:c>
      <x:c r="E35" s="43" t="str">
        <x:f>IF(C35="","",MONTH(C35))</x:f>
      </x:c>
      <x:c r="F35" s="43" t="str">
        <x:f>IF(C35="","",WEEKNUM(C35,21))</x:f>
      </x:c>
      <x:c r="G35" s="43" t="str">
        <x:f>IF(C35="","",CHOOSE(WEEKDAY(C35,2),"Lundi","Mardi","Mercredi","Jeudi","Vendredi","Samedi","Dimanche"))</x:f>
      </x:c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  <x:c r="AA35" s="43"/>
      <x:c r="AB35" s="43"/>
      <x:c r="AC35" s="43"/>
      <x:c r="AD35" s="43"/>
      <x:c r="AE35" s="43"/>
      <x:c r="AF35" s="43"/>
      <x:c r="AG35" s="67"/>
      <x:c r="AH35" s="43"/>
      <x:c r="AI35" s="43"/>
    </x:row>
    <x:row r="36">
      <x:c r="A36" s="43"/>
      <x:c r="B36" s="43"/>
      <x:c r="C36" s="43"/>
      <x:c r="D36" s="43" t="str">
        <x:f>IF(C36="","",YEAR(C36))</x:f>
      </x:c>
      <x:c r="E36" s="43" t="str">
        <x:f>IF(C36="","",MONTH(C36))</x:f>
      </x:c>
      <x:c r="F36" s="43" t="str">
        <x:f>IF(C36="","",WEEKNUM(C36,21))</x:f>
      </x:c>
      <x:c r="G36" s="43" t="str">
        <x:f>IF(C36="","",CHOOSE(WEEKDAY(C36,2),"Lundi","Mardi","Mercredi","Jeudi","Vendredi","Samedi","Dimanche"))</x:f>
      </x:c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  <x:c r="AA36" s="43"/>
      <x:c r="AB36" s="43"/>
      <x:c r="AC36" s="43"/>
      <x:c r="AD36" s="43"/>
      <x:c r="AE36" s="43"/>
      <x:c r="AF36" s="43"/>
      <x:c r="AG36" s="67"/>
      <x:c r="AH36" s="43"/>
      <x:c r="AI36" s="43"/>
    </x:row>
    <x:row r="37">
      <x:c r="A37" s="43"/>
      <x:c r="B37" s="43"/>
      <x:c r="C37" s="43"/>
      <x:c r="D37" s="43" t="str">
        <x:f>IF(C37="","",YEAR(C37))</x:f>
      </x:c>
      <x:c r="E37" s="43" t="str">
        <x:f>IF(C37="","",MONTH(C37))</x:f>
      </x:c>
      <x:c r="F37" s="43" t="str">
        <x:f>IF(C37="","",WEEKNUM(C37,21))</x:f>
      </x:c>
      <x:c r="G37" s="43" t="str">
        <x:f>IF(C37="","",CHOOSE(WEEKDAY(C37,2),"Lundi","Mardi","Mercredi","Jeudi","Vendredi","Samedi","Dimanche"))</x:f>
      </x:c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  <x:c r="AA37" s="43"/>
      <x:c r="AB37" s="43"/>
      <x:c r="AC37" s="43"/>
      <x:c r="AD37" s="43"/>
      <x:c r="AE37" s="43"/>
      <x:c r="AF37" s="43"/>
      <x:c r="AG37" s="67"/>
      <x:c r="AH37" s="43"/>
      <x:c r="AI37" s="43"/>
    </x:row>
    <x:row r="38">
      <x:c r="A38" s="43"/>
      <x:c r="B38" s="43"/>
      <x:c r="C38" s="43"/>
      <x:c r="D38" s="43" t="str">
        <x:f>IF(C38="","",YEAR(C38))</x:f>
      </x:c>
      <x:c r="E38" s="43" t="str">
        <x:f>IF(C38="","",MONTH(C38))</x:f>
      </x:c>
      <x:c r="F38" s="43" t="str">
        <x:f>IF(C38="","",WEEKNUM(C38,21))</x:f>
      </x:c>
      <x:c r="G38" s="43" t="str">
        <x:f>IF(C38="","",CHOOSE(WEEKDAY(C38,2),"Lundi","Mardi","Mercredi","Jeudi","Vendredi","Samedi","Dimanche"))</x:f>
      </x:c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  <x:c r="AA38" s="43"/>
      <x:c r="AB38" s="43"/>
      <x:c r="AC38" s="43"/>
      <x:c r="AD38" s="43"/>
      <x:c r="AE38" s="43"/>
      <x:c r="AF38" s="43"/>
      <x:c r="AG38" s="67"/>
      <x:c r="AH38" s="43"/>
      <x:c r="AI38" s="43"/>
    </x:row>
    <x:row r="39">
      <x:c r="A39" s="43"/>
      <x:c r="B39" s="43"/>
      <x:c r="C39" s="43"/>
      <x:c r="D39" s="43" t="str">
        <x:f>IF(C39="","",YEAR(C39))</x:f>
      </x:c>
      <x:c r="E39" s="43" t="str">
        <x:f>IF(C39="","",MONTH(C39))</x:f>
      </x:c>
      <x:c r="F39" s="43" t="str">
        <x:f>IF(C39="","",WEEKNUM(C39,21))</x:f>
      </x:c>
      <x:c r="G39" s="43" t="str">
        <x:f>IF(C39="","",CHOOSE(WEEKDAY(C39,2),"Lundi","Mardi","Mercredi","Jeudi","Vendredi","Samedi","Dimanche"))</x:f>
      </x:c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  <x:c r="AA39" s="43"/>
      <x:c r="AB39" s="43"/>
      <x:c r="AC39" s="43"/>
      <x:c r="AD39" s="43"/>
      <x:c r="AE39" s="43"/>
      <x:c r="AF39" s="43"/>
      <x:c r="AG39" s="67"/>
      <x:c r="AH39" s="43"/>
      <x:c r="AI39" s="43"/>
    </x:row>
    <x:row r="40">
      <x:c r="A40" s="43"/>
      <x:c r="B40" s="43"/>
      <x:c r="C40" s="43"/>
      <x:c r="D40" s="43" t="str">
        <x:f>IF(C40="","",YEAR(C40))</x:f>
      </x:c>
      <x:c r="E40" s="43" t="str">
        <x:f>IF(C40="","",MONTH(C40))</x:f>
      </x:c>
      <x:c r="F40" s="43" t="str">
        <x:f>IF(C40="","",WEEKNUM(C40,21))</x:f>
      </x:c>
      <x:c r="G40" s="43" t="str">
        <x:f>IF(C40="","",CHOOSE(WEEKDAY(C40,2),"Lundi","Mardi","Mercredi","Jeudi","Vendredi","Samedi","Dimanche"))</x:f>
      </x:c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  <x:c r="AA40" s="43"/>
      <x:c r="AB40" s="43"/>
      <x:c r="AC40" s="43"/>
      <x:c r="AD40" s="43"/>
      <x:c r="AE40" s="43"/>
      <x:c r="AF40" s="43"/>
      <x:c r="AG40" s="67"/>
      <x:c r="AH40" s="43"/>
      <x:c r="AI40" s="43"/>
    </x:row>
    <x:row r="41">
      <x:c r="A41" s="43"/>
      <x:c r="B41" s="43"/>
      <x:c r="C41" s="43"/>
      <x:c r="D41" s="43" t="str">
        <x:f>IF(C41="","",YEAR(C41))</x:f>
      </x:c>
      <x:c r="E41" s="43" t="str">
        <x:f>IF(C41="","",MONTH(C41))</x:f>
      </x:c>
      <x:c r="F41" s="43" t="str">
        <x:f>IF(C41="","",WEEKNUM(C41,21))</x:f>
      </x:c>
      <x:c r="G41" s="43" t="str">
        <x:f>IF(C41="","",CHOOSE(WEEKDAY(C41,2),"Lundi","Mardi","Mercredi","Jeudi","Vendredi","Samedi","Dimanche"))</x:f>
      </x:c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  <x:c r="AA41" s="43"/>
      <x:c r="AB41" s="43"/>
      <x:c r="AC41" s="43"/>
      <x:c r="AD41" s="43"/>
      <x:c r="AE41" s="43"/>
      <x:c r="AF41" s="43"/>
      <x:c r="AG41" s="67"/>
      <x:c r="AH41" s="43"/>
      <x:c r="AI41" s="43"/>
    </x:row>
    <x:row r="42">
      <x:c r="A42" s="43"/>
      <x:c r="B42" s="43"/>
      <x:c r="C42" s="43"/>
      <x:c r="D42" s="43" t="str">
        <x:f>IF(C42="","",YEAR(C42))</x:f>
      </x:c>
      <x:c r="E42" s="43" t="str">
        <x:f>IF(C42="","",MONTH(C42))</x:f>
      </x:c>
      <x:c r="F42" s="43" t="str">
        <x:f>IF(C42="","",WEEKNUM(C42,21))</x:f>
      </x:c>
      <x:c r="G42" s="43" t="str">
        <x:f>IF(C42="","",CHOOSE(WEEKDAY(C42,2),"Lundi","Mardi","Mercredi","Jeudi","Vendredi","Samedi","Dimanche"))</x:f>
      </x:c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  <x:c r="AA42" s="43"/>
      <x:c r="AB42" s="43"/>
      <x:c r="AC42" s="43"/>
      <x:c r="AD42" s="43"/>
      <x:c r="AE42" s="43"/>
      <x:c r="AF42" s="43"/>
      <x:c r="AG42" s="67"/>
      <x:c r="AH42" s="43"/>
      <x:c r="AI42" s="43"/>
    </x:row>
    <x:row r="43">
      <x:c r="A43" s="43"/>
      <x:c r="B43" s="43"/>
      <x:c r="C43" s="43"/>
      <x:c r="D43" s="43" t="str">
        <x:f>IF(C43="","",YEAR(C43))</x:f>
      </x:c>
      <x:c r="E43" s="43" t="str">
        <x:f>IF(C43="","",MONTH(C43))</x:f>
      </x:c>
      <x:c r="F43" s="43" t="str">
        <x:f>IF(C43="","",WEEKNUM(C43,21))</x:f>
      </x:c>
      <x:c r="G43" s="43" t="str">
        <x:f>IF(C43="","",CHOOSE(WEEKDAY(C43,2),"Lundi","Mardi","Mercredi","Jeudi","Vendredi","Samedi","Dimanche"))</x:f>
      </x:c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  <x:c r="AA43" s="43"/>
      <x:c r="AB43" s="43"/>
      <x:c r="AC43" s="43"/>
      <x:c r="AD43" s="43"/>
      <x:c r="AE43" s="43"/>
      <x:c r="AF43" s="43"/>
      <x:c r="AG43" s="67"/>
      <x:c r="AH43" s="43"/>
      <x:c r="AI43" s="43"/>
    </x:row>
    <x:row r="44">
      <x:c r="A44" s="43"/>
      <x:c r="B44" s="43"/>
      <x:c r="C44" s="43"/>
      <x:c r="D44" s="43" t="str">
        <x:f>IF(C44="","",YEAR(C44))</x:f>
      </x:c>
      <x:c r="E44" s="43" t="str">
        <x:f>IF(C44="","",MONTH(C44))</x:f>
      </x:c>
      <x:c r="F44" s="43" t="str">
        <x:f>IF(C44="","",WEEKNUM(C44,21))</x:f>
      </x:c>
      <x:c r="G44" s="43" t="str">
        <x:f>IF(C44="","",CHOOSE(WEEKDAY(C44,2),"Lundi","Mardi","Mercredi","Jeudi","Vendredi","Samedi","Dimanche"))</x:f>
      </x:c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  <x:c r="AA44" s="43"/>
      <x:c r="AB44" s="43"/>
      <x:c r="AC44" s="43"/>
      <x:c r="AD44" s="43"/>
      <x:c r="AE44" s="43"/>
      <x:c r="AF44" s="43"/>
      <x:c r="AG44" s="67"/>
      <x:c r="AH44" s="43"/>
      <x:c r="AI44" s="43"/>
    </x:row>
    <x:row r="45">
      <x:c r="A45" s="43"/>
      <x:c r="B45" s="43"/>
      <x:c r="C45" s="43"/>
      <x:c r="D45" s="43" t="str">
        <x:f>IF(C45="","",YEAR(C45))</x:f>
      </x:c>
      <x:c r="E45" s="43" t="str">
        <x:f>IF(C45="","",MONTH(C45))</x:f>
      </x:c>
      <x:c r="F45" s="43" t="str">
        <x:f>IF(C45="","",WEEKNUM(C45,21))</x:f>
      </x:c>
      <x:c r="G45" s="43" t="str">
        <x:f>IF(C45="","",CHOOSE(WEEKDAY(C45,2),"Lundi","Mardi","Mercredi","Jeudi","Vendredi","Samedi","Dimanche"))</x:f>
      </x:c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  <x:c r="AA45" s="43"/>
      <x:c r="AB45" s="43"/>
      <x:c r="AC45" s="43"/>
      <x:c r="AD45" s="43"/>
      <x:c r="AE45" s="43"/>
      <x:c r="AF45" s="43"/>
      <x:c r="AG45" s="67"/>
      <x:c r="AH45" s="43"/>
      <x:c r="AI45" s="43"/>
    </x:row>
    <x:row r="46">
      <x:c r="A46" s="43"/>
      <x:c r="B46" s="43"/>
      <x:c r="C46" s="43"/>
      <x:c r="D46" s="43" t="str">
        <x:f>IF(C46="","",YEAR(C46))</x:f>
      </x:c>
      <x:c r="E46" s="43" t="str">
        <x:f>IF(C46="","",MONTH(C46))</x:f>
      </x:c>
      <x:c r="F46" s="43" t="str">
        <x:f>IF(C46="","",WEEKNUM(C46,21))</x:f>
      </x:c>
      <x:c r="G46" s="43" t="str">
        <x:f>IF(C46="","",CHOOSE(WEEKDAY(C46,2),"Lundi","Mardi","Mercredi","Jeudi","Vendredi","Samedi","Dimanche"))</x:f>
      </x:c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  <x:c r="AA46" s="43"/>
      <x:c r="AB46" s="43"/>
      <x:c r="AC46" s="43"/>
      <x:c r="AD46" s="43"/>
      <x:c r="AE46" s="43"/>
      <x:c r="AF46" s="43"/>
      <x:c r="AG46" s="67"/>
      <x:c r="AH46" s="43"/>
      <x:c r="AI46" s="43"/>
    </x:row>
    <x:row r="47">
      <x:c r="A47" s="43"/>
      <x:c r="B47" s="43"/>
      <x:c r="C47" s="43"/>
      <x:c r="D47" s="43" t="str">
        <x:f>IF(C47="","",YEAR(C47))</x:f>
      </x:c>
      <x:c r="E47" s="43" t="str">
        <x:f>IF(C47="","",MONTH(C47))</x:f>
      </x:c>
      <x:c r="F47" s="43" t="str">
        <x:f>IF(C47="","",WEEKNUM(C47,21))</x:f>
      </x:c>
      <x:c r="G47" s="43" t="str">
        <x:f>IF(C47="","",CHOOSE(WEEKDAY(C47,2),"Lundi","Mardi","Mercredi","Jeudi","Vendredi","Samedi","Dimanche"))</x:f>
      </x:c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  <x:c r="AA47" s="43"/>
      <x:c r="AB47" s="43"/>
      <x:c r="AC47" s="43"/>
      <x:c r="AD47" s="43"/>
      <x:c r="AE47" s="43"/>
      <x:c r="AF47" s="43"/>
      <x:c r="AG47" s="67"/>
      <x:c r="AH47" s="43"/>
      <x:c r="AI47" s="43"/>
    </x:row>
    <x:row r="48">
      <x:c r="A48" s="43"/>
      <x:c r="B48" s="43"/>
      <x:c r="C48" s="43"/>
      <x:c r="D48" s="43" t="str">
        <x:f>IF(C48="","",YEAR(C48))</x:f>
      </x:c>
      <x:c r="E48" s="43" t="str">
        <x:f>IF(C48="","",MONTH(C48))</x:f>
      </x:c>
      <x:c r="F48" s="43" t="str">
        <x:f>IF(C48="","",WEEKNUM(C48,21))</x:f>
      </x:c>
      <x:c r="G48" s="43" t="str">
        <x:f>IF(C48="","",CHOOSE(WEEKDAY(C48,2),"Lundi","Mardi","Mercredi","Jeudi","Vendredi","Samedi","Dimanche"))</x:f>
      </x:c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  <x:c r="AA48" s="43"/>
      <x:c r="AB48" s="43"/>
      <x:c r="AC48" s="43"/>
      <x:c r="AD48" s="43"/>
      <x:c r="AE48" s="43"/>
      <x:c r="AF48" s="43"/>
      <x:c r="AG48" s="67"/>
      <x:c r="AH48" s="43"/>
      <x:c r="AI48" s="43"/>
    </x:row>
    <x:row r="49">
      <x:c r="A49" s="43"/>
      <x:c r="B49" s="43"/>
      <x:c r="C49" s="43"/>
      <x:c r="D49" s="43" t="str">
        <x:f>IF(C49="","",YEAR(C49))</x:f>
      </x:c>
      <x:c r="E49" s="43" t="str">
        <x:f>IF(C49="","",MONTH(C49))</x:f>
      </x:c>
      <x:c r="F49" s="43" t="str">
        <x:f>IF(C49="","",WEEKNUM(C49,21))</x:f>
      </x:c>
      <x:c r="G49" s="43" t="str">
        <x:f>IF(C49="","",CHOOSE(WEEKDAY(C49,2),"Lundi","Mardi","Mercredi","Jeudi","Vendredi","Samedi","Dimanche"))</x:f>
      </x:c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  <x:c r="AA49" s="43"/>
      <x:c r="AB49" s="43"/>
      <x:c r="AC49" s="43"/>
      <x:c r="AD49" s="43"/>
      <x:c r="AE49" s="43"/>
      <x:c r="AF49" s="43"/>
      <x:c r="AG49" s="67"/>
      <x:c r="AH49" s="43"/>
      <x:c r="AI49" s="43"/>
    </x:row>
    <x:row r="50">
      <x:c r="A50" s="43"/>
      <x:c r="B50" s="43"/>
      <x:c r="C50" s="43"/>
      <x:c r="D50" s="43" t="str">
        <x:f>IF(C50="","",YEAR(C50))</x:f>
      </x:c>
      <x:c r="E50" s="43" t="str">
        <x:f>IF(C50="","",MONTH(C50))</x:f>
      </x:c>
      <x:c r="F50" s="43" t="str">
        <x:f>IF(C50="","",WEEKNUM(C50,21))</x:f>
      </x:c>
      <x:c r="G50" s="43" t="str">
        <x:f>IF(C50="","",CHOOSE(WEEKDAY(C50,2),"Lundi","Mardi","Mercredi","Jeudi","Vendredi","Samedi","Dimanche"))</x:f>
      </x:c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  <x:c r="AA50" s="43"/>
      <x:c r="AB50" s="43"/>
      <x:c r="AC50" s="43"/>
      <x:c r="AD50" s="43"/>
      <x:c r="AE50" s="43"/>
      <x:c r="AF50" s="43"/>
      <x:c r="AG50" s="67"/>
      <x:c r="AH50" s="43"/>
      <x:c r="AI50" s="43"/>
    </x:row>
    <x:row r="51">
      <x:c r="A51" s="43"/>
      <x:c r="B51" s="43"/>
      <x:c r="C51" s="43"/>
      <x:c r="D51" s="43" t="str">
        <x:f>IF(C51="","",YEAR(C51))</x:f>
      </x:c>
      <x:c r="E51" s="43" t="str">
        <x:f>IF(C51="","",MONTH(C51))</x:f>
      </x:c>
      <x:c r="F51" s="43" t="str">
        <x:f>IF(C51="","",WEEKNUM(C51,21))</x:f>
      </x:c>
      <x:c r="G51" s="43" t="str">
        <x:f>IF(C51="","",CHOOSE(WEEKDAY(C51,2),"Lundi","Mardi","Mercredi","Jeudi","Vendredi","Samedi","Dimanche"))</x:f>
      </x:c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  <x:c r="AA51" s="43"/>
      <x:c r="AB51" s="43"/>
      <x:c r="AC51" s="43"/>
      <x:c r="AD51" s="43"/>
      <x:c r="AE51" s="43"/>
      <x:c r="AF51" s="43"/>
      <x:c r="AG51" s="67"/>
      <x:c r="AH51" s="43"/>
      <x:c r="AI51" s="43"/>
    </x:row>
    <x:row r="52">
      <x:c r="A52" s="43"/>
      <x:c r="B52" s="43"/>
      <x:c r="C52" s="43"/>
      <x:c r="D52" s="43" t="str">
        <x:f>IF(C52="","",YEAR(C52))</x:f>
      </x:c>
      <x:c r="E52" s="43" t="str">
        <x:f>IF(C52="","",MONTH(C52))</x:f>
      </x:c>
      <x:c r="F52" s="43" t="str">
        <x:f>IF(C52="","",WEEKNUM(C52,21))</x:f>
      </x:c>
      <x:c r="G52" s="43" t="str">
        <x:f>IF(C52="","",CHOOSE(WEEKDAY(C52,2),"Lundi","Mardi","Mercredi","Jeudi","Vendredi","Samedi","Dimanche"))</x:f>
      </x:c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  <x:c r="AA52" s="43"/>
      <x:c r="AB52" s="43"/>
      <x:c r="AC52" s="43"/>
      <x:c r="AD52" s="43"/>
      <x:c r="AE52" s="43"/>
      <x:c r="AF52" s="43"/>
      <x:c r="AG52" s="67"/>
      <x:c r="AH52" s="43"/>
      <x:c r="AI52" s="43"/>
    </x:row>
    <x:row r="53">
      <x:c r="A53" s="43"/>
      <x:c r="B53" s="43"/>
      <x:c r="C53" s="43"/>
      <x:c r="D53" s="43" t="str">
        <x:f>IF(C53="","",YEAR(C53))</x:f>
      </x:c>
      <x:c r="E53" s="43" t="str">
        <x:f>IF(C53="","",MONTH(C53))</x:f>
      </x:c>
      <x:c r="F53" s="43" t="str">
        <x:f>IF(C53="","",WEEKNUM(C53,21))</x:f>
      </x:c>
      <x:c r="G53" s="43" t="str">
        <x:f>IF(C53="","",CHOOSE(WEEKDAY(C53,2),"Lundi","Mardi","Mercredi","Jeudi","Vendredi","Samedi","Dimanche"))</x:f>
      </x:c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  <x:c r="AA53" s="43"/>
      <x:c r="AB53" s="43"/>
      <x:c r="AC53" s="43"/>
      <x:c r="AD53" s="43"/>
      <x:c r="AE53" s="43"/>
      <x:c r="AF53" s="43"/>
      <x:c r="AG53" s="67"/>
      <x:c r="AH53" s="43"/>
      <x:c r="AI53" s="43"/>
    </x:row>
    <x:row r="54">
      <x:c r="A54" s="43"/>
      <x:c r="B54" s="43"/>
      <x:c r="C54" s="43"/>
      <x:c r="D54" s="43" t="str">
        <x:f>IF(C54="","",YEAR(C54))</x:f>
      </x:c>
      <x:c r="E54" s="43" t="str">
        <x:f>IF(C54="","",MONTH(C54))</x:f>
      </x:c>
      <x:c r="F54" s="43" t="str">
        <x:f>IF(C54="","",WEEKNUM(C54,21))</x:f>
      </x:c>
      <x:c r="G54" s="43" t="str">
        <x:f>IF(C54="","",CHOOSE(WEEKDAY(C54,2),"Lundi","Mardi","Mercredi","Jeudi","Vendredi","Samedi","Dimanche"))</x:f>
      </x:c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  <x:c r="AA54" s="43"/>
      <x:c r="AB54" s="43"/>
      <x:c r="AC54" s="43"/>
      <x:c r="AD54" s="43"/>
      <x:c r="AE54" s="43"/>
      <x:c r="AF54" s="43"/>
      <x:c r="AG54" s="67"/>
      <x:c r="AH54" s="43"/>
      <x:c r="AI54" s="43"/>
    </x:row>
    <x:row r="55">
      <x:c r="A55" s="43"/>
      <x:c r="B55" s="43"/>
      <x:c r="C55" s="43"/>
      <x:c r="D55" s="43" t="str">
        <x:f>IF(C55="","",YEAR(C55))</x:f>
      </x:c>
      <x:c r="E55" s="43" t="str">
        <x:f>IF(C55="","",MONTH(C55))</x:f>
      </x:c>
      <x:c r="F55" s="43" t="str">
        <x:f>IF(C55="","",WEEKNUM(C55,21))</x:f>
      </x:c>
      <x:c r="G55" s="43" t="str">
        <x:f>IF(C55="","",CHOOSE(WEEKDAY(C55,2),"Lundi","Mardi","Mercredi","Jeudi","Vendredi","Samedi","Dimanche"))</x:f>
      </x:c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  <x:c r="AA55" s="43"/>
      <x:c r="AB55" s="43"/>
      <x:c r="AC55" s="43"/>
      <x:c r="AD55" s="43"/>
      <x:c r="AE55" s="43"/>
      <x:c r="AF55" s="43"/>
      <x:c r="AG55" s="67"/>
      <x:c r="AH55" s="43"/>
      <x:c r="AI55" s="43"/>
    </x:row>
    <x:row r="56">
      <x:c r="A56" s="43"/>
      <x:c r="B56" s="43"/>
      <x:c r="C56" s="43"/>
      <x:c r="D56" s="43" t="str">
        <x:f>IF(C56="","",YEAR(C56))</x:f>
      </x:c>
      <x:c r="E56" s="43" t="str">
        <x:f>IF(C56="","",MONTH(C56))</x:f>
      </x:c>
      <x:c r="F56" s="43" t="str">
        <x:f>IF(C56="","",WEEKNUM(C56,21))</x:f>
      </x:c>
      <x:c r="G56" s="43" t="str">
        <x:f>IF(C56="","",CHOOSE(WEEKDAY(C56,2),"Lundi","Mardi","Mercredi","Jeudi","Vendredi","Samedi","Dimanche"))</x:f>
      </x:c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  <x:c r="AA56" s="43"/>
      <x:c r="AB56" s="43"/>
      <x:c r="AC56" s="43"/>
      <x:c r="AD56" s="43"/>
      <x:c r="AE56" s="43"/>
      <x:c r="AF56" s="43"/>
      <x:c r="AG56" s="67"/>
      <x:c r="AH56" s="43"/>
      <x:c r="AI56" s="43"/>
    </x:row>
    <x:row r="57">
      <x:c r="A57" s="43"/>
      <x:c r="B57" s="43"/>
      <x:c r="C57" s="43"/>
      <x:c r="D57" s="43" t="str">
        <x:f>IF(C57="","",YEAR(C57))</x:f>
      </x:c>
      <x:c r="E57" s="43" t="str">
        <x:f>IF(C57="","",MONTH(C57))</x:f>
      </x:c>
      <x:c r="F57" s="43" t="str">
        <x:f>IF(C57="","",WEEKNUM(C57,21))</x:f>
      </x:c>
      <x:c r="G57" s="43" t="str">
        <x:f>IF(C57="","",CHOOSE(WEEKDAY(C57,2),"Lundi","Mardi","Mercredi","Jeudi","Vendredi","Samedi","Dimanche"))</x:f>
      </x:c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  <x:c r="AA57" s="43"/>
      <x:c r="AB57" s="43"/>
      <x:c r="AC57" s="43"/>
      <x:c r="AD57" s="43"/>
      <x:c r="AE57" s="43"/>
      <x:c r="AF57" s="43"/>
      <x:c r="AG57" s="67"/>
      <x:c r="AH57" s="43"/>
      <x:c r="AI57" s="43"/>
    </x:row>
    <x:row r="58">
      <x:c r="A58" s="43"/>
      <x:c r="B58" s="43"/>
      <x:c r="C58" s="43"/>
      <x:c r="D58" s="43" t="str">
        <x:f>IF(C58="","",YEAR(C58))</x:f>
      </x:c>
      <x:c r="E58" s="43" t="str">
        <x:f>IF(C58="","",MONTH(C58))</x:f>
      </x:c>
      <x:c r="F58" s="43" t="str">
        <x:f>IF(C58="","",WEEKNUM(C58,21))</x:f>
      </x:c>
      <x:c r="G58" s="43" t="str">
        <x:f>IF(C58="","",CHOOSE(WEEKDAY(C58,2),"Lundi","Mardi","Mercredi","Jeudi","Vendredi","Samedi","Dimanche"))</x:f>
      </x:c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  <x:c r="AA58" s="43"/>
      <x:c r="AB58" s="43"/>
      <x:c r="AC58" s="43"/>
      <x:c r="AD58" s="43"/>
      <x:c r="AE58" s="43"/>
      <x:c r="AF58" s="43"/>
      <x:c r="AG58" s="67"/>
      <x:c r="AH58" s="43"/>
      <x:c r="AI58" s="43"/>
    </x:row>
    <x:row r="59">
      <x:c r="A59" s="43"/>
      <x:c r="B59" s="43"/>
      <x:c r="C59" s="43"/>
      <x:c r="D59" s="43" t="str">
        <x:f>IF(C59="","",YEAR(C59))</x:f>
      </x:c>
      <x:c r="E59" s="43" t="str">
        <x:f>IF(C59="","",MONTH(C59))</x:f>
      </x:c>
      <x:c r="F59" s="43" t="str">
        <x:f>IF(C59="","",WEEKNUM(C59,21))</x:f>
      </x:c>
      <x:c r="G59" s="43" t="str">
        <x:f>IF(C59="","",CHOOSE(WEEKDAY(C59,2),"Lundi","Mardi","Mercredi","Jeudi","Vendredi","Samedi","Dimanche"))</x:f>
      </x:c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  <x:c r="AA59" s="43"/>
      <x:c r="AB59" s="43"/>
      <x:c r="AC59" s="43"/>
      <x:c r="AD59" s="43"/>
      <x:c r="AE59" s="43"/>
      <x:c r="AF59" s="43"/>
      <x:c r="AG59" s="67"/>
      <x:c r="AH59" s="43"/>
      <x:c r="AI59" s="43"/>
    </x:row>
    <x:row r="60">
      <x:c r="A60" s="43"/>
      <x:c r="B60" s="43"/>
      <x:c r="C60" s="43"/>
      <x:c r="D60" s="43" t="str">
        <x:f>IF(C60="","",YEAR(C60))</x:f>
      </x:c>
      <x:c r="E60" s="43" t="str">
        <x:f>IF(C60="","",MONTH(C60))</x:f>
      </x:c>
      <x:c r="F60" s="43" t="str">
        <x:f>IF(C60="","",WEEKNUM(C60,21))</x:f>
      </x:c>
      <x:c r="G60" s="43" t="str">
        <x:f>IF(C60="","",CHOOSE(WEEKDAY(C60,2),"Lundi","Mardi","Mercredi","Jeudi","Vendredi","Samedi","Dimanche"))</x:f>
      </x:c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  <x:c r="AA60" s="43"/>
      <x:c r="AB60" s="43"/>
      <x:c r="AC60" s="43"/>
      <x:c r="AD60" s="43"/>
      <x:c r="AE60" s="43"/>
      <x:c r="AF60" s="43"/>
      <x:c r="AG60" s="67"/>
      <x:c r="AH60" s="43"/>
      <x:c r="AI60" s="43"/>
    </x:row>
    <x:row r="61">
      <x:c r="A61" s="43"/>
      <x:c r="B61" s="43"/>
      <x:c r="C61" s="43"/>
      <x:c r="D61" s="43" t="str">
        <x:f>IF(C61="","",YEAR(C61))</x:f>
      </x:c>
      <x:c r="E61" s="43" t="str">
        <x:f>IF(C61="","",MONTH(C61))</x:f>
      </x:c>
      <x:c r="F61" s="43" t="str">
        <x:f>IF(C61="","",WEEKNUM(C61,21))</x:f>
      </x:c>
      <x:c r="G61" s="43" t="str">
        <x:f>IF(C61="","",CHOOSE(WEEKDAY(C61,2),"Lundi","Mardi","Mercredi","Jeudi","Vendredi","Samedi","Dimanche"))</x:f>
      </x:c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  <x:c r="AA61" s="43"/>
      <x:c r="AB61" s="43"/>
      <x:c r="AC61" s="43"/>
      <x:c r="AD61" s="43"/>
      <x:c r="AE61" s="43"/>
      <x:c r="AF61" s="43"/>
      <x:c r="AG61" s="67"/>
      <x:c r="AH61" s="43"/>
      <x:c r="AI61" s="43"/>
    </x:row>
    <x:row r="62">
      <x:c r="A62" s="43"/>
      <x:c r="B62" s="43"/>
      <x:c r="C62" s="43"/>
      <x:c r="D62" s="43" t="str">
        <x:f>IF(C62="","",YEAR(C62))</x:f>
      </x:c>
      <x:c r="E62" s="43" t="str">
        <x:f>IF(C62="","",MONTH(C62))</x:f>
      </x:c>
      <x:c r="F62" s="43" t="str">
        <x:f>IF(C62="","",WEEKNUM(C62,21))</x:f>
      </x:c>
      <x:c r="G62" s="43" t="str">
        <x:f>IF(C62="","",CHOOSE(WEEKDAY(C62,2),"Lundi","Mardi","Mercredi","Jeudi","Vendredi","Samedi","Dimanche"))</x:f>
      </x:c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  <x:c r="AA62" s="43"/>
      <x:c r="AB62" s="43"/>
      <x:c r="AC62" s="43"/>
      <x:c r="AD62" s="43"/>
      <x:c r="AE62" s="43"/>
      <x:c r="AF62" s="43"/>
      <x:c r="AG62" s="67"/>
      <x:c r="AH62" s="43"/>
      <x:c r="AI62" s="43"/>
    </x:row>
    <x:row r="63">
      <x:c r="A63" s="43"/>
      <x:c r="B63" s="43"/>
      <x:c r="C63" s="43"/>
      <x:c r="D63" s="43" t="str">
        <x:f>IF(C63="","",YEAR(C63))</x:f>
      </x:c>
      <x:c r="E63" s="43" t="str">
        <x:f>IF(C63="","",MONTH(C63))</x:f>
      </x:c>
      <x:c r="F63" s="43" t="str">
        <x:f>IF(C63="","",WEEKNUM(C63,21))</x:f>
      </x:c>
      <x:c r="G63" s="43" t="str">
        <x:f>IF(C63="","",CHOOSE(WEEKDAY(C63,2),"Lundi","Mardi","Mercredi","Jeudi","Vendredi","Samedi","Dimanche"))</x:f>
      </x:c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  <x:c r="AA63" s="43"/>
      <x:c r="AB63" s="43"/>
      <x:c r="AC63" s="43"/>
      <x:c r="AD63" s="43"/>
      <x:c r="AE63" s="43"/>
      <x:c r="AF63" s="43"/>
      <x:c r="AG63" s="67"/>
      <x:c r="AH63" s="43"/>
      <x:c r="AI63" s="43"/>
    </x:row>
    <x:row r="64">
      <x:c r="A64" s="43"/>
      <x:c r="B64" s="43"/>
      <x:c r="C64" s="43"/>
      <x:c r="D64" s="43" t="str">
        <x:f>IF(C64="","",YEAR(C64))</x:f>
      </x:c>
      <x:c r="E64" s="43" t="str">
        <x:f>IF(C64="","",MONTH(C64))</x:f>
      </x:c>
      <x:c r="F64" s="43" t="str">
        <x:f>IF(C64="","",WEEKNUM(C64,21))</x:f>
      </x:c>
      <x:c r="G64" s="43" t="str">
        <x:f>IF(C64="","",CHOOSE(WEEKDAY(C64,2),"Lundi","Mardi","Mercredi","Jeudi","Vendredi","Samedi","Dimanche"))</x:f>
      </x:c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  <x:c r="AA64" s="43"/>
      <x:c r="AB64" s="43"/>
      <x:c r="AC64" s="43"/>
      <x:c r="AD64" s="43"/>
      <x:c r="AE64" s="43"/>
      <x:c r="AF64" s="43"/>
      <x:c r="AG64" s="67"/>
      <x:c r="AH64" s="43"/>
      <x:c r="AI64" s="43"/>
    </x:row>
    <x:row r="65">
      <x:c r="A65" s="43"/>
      <x:c r="B65" s="43"/>
      <x:c r="C65" s="43"/>
      <x:c r="D65" s="43" t="str">
        <x:f>IF(C65="","",YEAR(C65))</x:f>
      </x:c>
      <x:c r="E65" s="43" t="str">
        <x:f>IF(C65="","",MONTH(C65))</x:f>
      </x:c>
      <x:c r="F65" s="43" t="str">
        <x:f>IF(C65="","",WEEKNUM(C65,21))</x:f>
      </x:c>
      <x:c r="G65" s="43" t="str">
        <x:f>IF(C65="","",CHOOSE(WEEKDAY(C65,2),"Lundi","Mardi","Mercredi","Jeudi","Vendredi","Samedi","Dimanche"))</x:f>
      </x:c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  <x:c r="AA65" s="43"/>
      <x:c r="AB65" s="43"/>
      <x:c r="AC65" s="43"/>
      <x:c r="AD65" s="43"/>
      <x:c r="AE65" s="43"/>
      <x:c r="AF65" s="43"/>
      <x:c r="AG65" s="67"/>
      <x:c r="AH65" s="43"/>
      <x:c r="AI65" s="43"/>
    </x:row>
    <x:row r="66">
      <x:c r="A66" s="43"/>
      <x:c r="B66" s="43"/>
      <x:c r="C66" s="43"/>
      <x:c r="D66" s="43" t="str">
        <x:f>IF(C66="","",YEAR(C66))</x:f>
      </x:c>
      <x:c r="E66" s="43" t="str">
        <x:f>IF(C66="","",MONTH(C66))</x:f>
      </x:c>
      <x:c r="F66" s="43" t="str">
        <x:f>IF(C66="","",WEEKNUM(C66,21))</x:f>
      </x:c>
      <x:c r="G66" s="43" t="str">
        <x:f>IF(C66="","",CHOOSE(WEEKDAY(C66,2),"Lundi","Mardi","Mercredi","Jeudi","Vendredi","Samedi","Dimanche"))</x:f>
      </x:c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  <x:c r="AA66" s="43"/>
      <x:c r="AB66" s="43"/>
      <x:c r="AC66" s="43"/>
      <x:c r="AD66" s="43"/>
      <x:c r="AE66" s="43"/>
      <x:c r="AF66" s="43"/>
      <x:c r="AG66" s="67"/>
      <x:c r="AH66" s="43"/>
      <x:c r="AI66" s="43"/>
    </x:row>
    <x:row r="67">
      <x:c r="A67" s="43"/>
      <x:c r="B67" s="43"/>
      <x:c r="C67" s="43"/>
      <x:c r="D67" s="43" t="str">
        <x:f>IF(C67="","",YEAR(C67))</x:f>
      </x:c>
      <x:c r="E67" s="43" t="str">
        <x:f>IF(C67="","",MONTH(C67))</x:f>
      </x:c>
      <x:c r="F67" s="43" t="str">
        <x:f>IF(C67="","",WEEKNUM(C67,21))</x:f>
      </x:c>
      <x:c r="G67" s="43" t="str">
        <x:f>IF(C67="","",CHOOSE(WEEKDAY(C67,2),"Lundi","Mardi","Mercredi","Jeudi","Vendredi","Samedi","Dimanche"))</x:f>
      </x:c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  <x:c r="AA67" s="43"/>
      <x:c r="AB67" s="43"/>
      <x:c r="AC67" s="43"/>
      <x:c r="AD67" s="43"/>
      <x:c r="AE67" s="43"/>
      <x:c r="AF67" s="43"/>
      <x:c r="AG67" s="67"/>
      <x:c r="AH67" s="43"/>
      <x:c r="AI67" s="43"/>
    </x:row>
    <x:row r="68">
      <x:c r="A68" s="43"/>
      <x:c r="B68" s="43"/>
      <x:c r="C68" s="43"/>
      <x:c r="D68" s="43" t="str">
        <x:f>IF(C68="","",YEAR(C68))</x:f>
      </x:c>
      <x:c r="E68" s="43" t="str">
        <x:f>IF(C68="","",MONTH(C68))</x:f>
      </x:c>
      <x:c r="F68" s="43" t="str">
        <x:f>IF(C68="","",WEEKNUM(C68,21))</x:f>
      </x:c>
      <x:c r="G68" s="43" t="str">
        <x:f>IF(C68="","",CHOOSE(WEEKDAY(C68,2),"Lundi","Mardi","Mercredi","Jeudi","Vendredi","Samedi","Dimanche"))</x:f>
      </x:c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  <x:c r="AA68" s="43"/>
      <x:c r="AB68" s="43"/>
      <x:c r="AC68" s="43"/>
      <x:c r="AD68" s="43"/>
      <x:c r="AE68" s="43"/>
      <x:c r="AF68" s="43"/>
      <x:c r="AG68" s="67"/>
      <x:c r="AH68" s="43"/>
      <x:c r="AI68" s="43"/>
    </x:row>
    <x:row r="69">
      <x:c r="A69" s="43"/>
      <x:c r="B69" s="43"/>
      <x:c r="C69" s="43"/>
      <x:c r="D69" s="43" t="str">
        <x:f>IF(C69="","",YEAR(C69))</x:f>
      </x:c>
      <x:c r="E69" s="43" t="str">
        <x:f>IF(C69="","",MONTH(C69))</x:f>
      </x:c>
      <x:c r="F69" s="43" t="str">
        <x:f>IF(C69="","",WEEKNUM(C69,21))</x:f>
      </x:c>
      <x:c r="G69" s="43" t="str">
        <x:f>IF(C69="","",CHOOSE(WEEKDAY(C69,2),"Lundi","Mardi","Mercredi","Jeudi","Vendredi","Samedi","Dimanche"))</x:f>
      </x:c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  <x:c r="AA69" s="43"/>
      <x:c r="AB69" s="43"/>
      <x:c r="AC69" s="43"/>
      <x:c r="AD69" s="43"/>
      <x:c r="AE69" s="43"/>
      <x:c r="AF69" s="43"/>
      <x:c r="AG69" s="67"/>
      <x:c r="AH69" s="43"/>
      <x:c r="AI69" s="43"/>
    </x:row>
    <x:row r="70">
      <x:c r="A70" s="43"/>
      <x:c r="B70" s="43"/>
      <x:c r="C70" s="43"/>
      <x:c r="D70" s="43" t="str">
        <x:f>IF(C70="","",YEAR(C70))</x:f>
      </x:c>
      <x:c r="E70" s="43" t="str">
        <x:f>IF(C70="","",MONTH(C70))</x:f>
      </x:c>
      <x:c r="F70" s="43" t="str">
        <x:f>IF(C70="","",WEEKNUM(C70,21))</x:f>
      </x:c>
      <x:c r="G70" s="43" t="str">
        <x:f>IF(C70="","",CHOOSE(WEEKDAY(C70,2),"Lundi","Mardi","Mercredi","Jeudi","Vendredi","Samedi","Dimanche"))</x:f>
      </x:c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  <x:c r="AA70" s="43"/>
      <x:c r="AB70" s="43"/>
      <x:c r="AC70" s="43"/>
      <x:c r="AD70" s="43"/>
      <x:c r="AE70" s="43"/>
      <x:c r="AF70" s="43"/>
      <x:c r="AG70" s="67"/>
      <x:c r="AH70" s="43"/>
      <x:c r="AI70" s="43"/>
    </x:row>
    <x:row r="71">
      <x:c r="A71" s="43"/>
      <x:c r="B71" s="43"/>
      <x:c r="C71" s="43"/>
      <x:c r="D71" s="43" t="str">
        <x:f>IF(C71="","",YEAR(C71))</x:f>
      </x:c>
      <x:c r="E71" s="43" t="str">
        <x:f>IF(C71="","",MONTH(C71))</x:f>
      </x:c>
      <x:c r="F71" s="43" t="str">
        <x:f>IF(C71="","",WEEKNUM(C71,21))</x:f>
      </x:c>
      <x:c r="G71" s="43" t="str">
        <x:f>IF(C71="","",CHOOSE(WEEKDAY(C71,2),"Lundi","Mardi","Mercredi","Jeudi","Vendredi","Samedi","Dimanche"))</x:f>
      </x:c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  <x:c r="AA71" s="43"/>
      <x:c r="AB71" s="43"/>
      <x:c r="AC71" s="43"/>
      <x:c r="AD71" s="43"/>
      <x:c r="AE71" s="43"/>
      <x:c r="AF71" s="43"/>
      <x:c r="AG71" s="67"/>
      <x:c r="AH71" s="43"/>
      <x:c r="AI71" s="43"/>
    </x:row>
    <x:row r="72">
      <x:c r="A72" s="43"/>
      <x:c r="B72" s="43"/>
      <x:c r="C72" s="43"/>
      <x:c r="D72" s="43" t="str">
        <x:f>IF(C72="","",YEAR(C72))</x:f>
      </x:c>
      <x:c r="E72" s="43" t="str">
        <x:f>IF(C72="","",MONTH(C72))</x:f>
      </x:c>
      <x:c r="F72" s="43" t="str">
        <x:f>IF(C72="","",WEEKNUM(C72,21))</x:f>
      </x:c>
      <x:c r="G72" s="43" t="str">
        <x:f>IF(C72="","",CHOOSE(WEEKDAY(C72,2),"Lundi","Mardi","Mercredi","Jeudi","Vendredi","Samedi","Dimanche"))</x:f>
      </x:c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  <x:c r="AA72" s="43"/>
      <x:c r="AB72" s="43"/>
      <x:c r="AC72" s="43"/>
      <x:c r="AD72" s="43"/>
      <x:c r="AE72" s="43"/>
      <x:c r="AF72" s="43"/>
      <x:c r="AG72" s="67"/>
      <x:c r="AH72" s="43"/>
      <x:c r="AI72" s="43"/>
    </x:row>
    <x:row r="73">
      <x:c r="A73" s="43"/>
      <x:c r="B73" s="43"/>
      <x:c r="C73" s="43"/>
      <x:c r="D73" s="43" t="str">
        <x:f>IF(C73="","",YEAR(C73))</x:f>
      </x:c>
      <x:c r="E73" s="43" t="str">
        <x:f>IF(C73="","",MONTH(C73))</x:f>
      </x:c>
      <x:c r="F73" s="43" t="str">
        <x:f>IF(C73="","",WEEKNUM(C73,21))</x:f>
      </x:c>
      <x:c r="G73" s="43" t="str">
        <x:f>IF(C73="","",CHOOSE(WEEKDAY(C73,2),"Lundi","Mardi","Mercredi","Jeudi","Vendredi","Samedi","Dimanche"))</x:f>
      </x:c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  <x:c r="AA73" s="43"/>
      <x:c r="AB73" s="43"/>
      <x:c r="AC73" s="43"/>
      <x:c r="AD73" s="43"/>
      <x:c r="AE73" s="43"/>
      <x:c r="AF73" s="43"/>
      <x:c r="AG73" s="67"/>
      <x:c r="AH73" s="43"/>
      <x:c r="AI73" s="43"/>
    </x:row>
    <x:row r="74">
      <x:c r="A74" s="43"/>
      <x:c r="B74" s="43"/>
      <x:c r="C74" s="43"/>
      <x:c r="D74" s="43" t="str">
        <x:f>IF(C74="","",YEAR(C74))</x:f>
      </x:c>
      <x:c r="E74" s="43" t="str">
        <x:f>IF(C74="","",MONTH(C74))</x:f>
      </x:c>
      <x:c r="F74" s="43" t="str">
        <x:f>IF(C74="","",WEEKNUM(C74,21))</x:f>
      </x:c>
      <x:c r="G74" s="43" t="str">
        <x:f>IF(C74="","",CHOOSE(WEEKDAY(C74,2),"Lundi","Mardi","Mercredi","Jeudi","Vendredi","Samedi","Dimanche"))</x:f>
      </x:c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  <x:c r="AA74" s="43"/>
      <x:c r="AB74" s="43"/>
      <x:c r="AC74" s="43"/>
      <x:c r="AD74" s="43"/>
      <x:c r="AE74" s="43"/>
      <x:c r="AF74" s="43"/>
      <x:c r="AG74" s="67"/>
      <x:c r="AH74" s="43"/>
      <x:c r="AI74" s="43"/>
    </x:row>
    <x:row r="75">
      <x:c r="A75" s="43"/>
      <x:c r="B75" s="43"/>
      <x:c r="C75" s="43"/>
      <x:c r="D75" s="43" t="str">
        <x:f>IF(C75="","",YEAR(C75))</x:f>
      </x:c>
      <x:c r="E75" s="43" t="str">
        <x:f>IF(C75="","",MONTH(C75))</x:f>
      </x:c>
      <x:c r="F75" s="43" t="str">
        <x:f>IF(C75="","",WEEKNUM(C75,21))</x:f>
      </x:c>
      <x:c r="G75" s="43" t="str">
        <x:f>IF(C75="","",CHOOSE(WEEKDAY(C75,2),"Lundi","Mardi","Mercredi","Jeudi","Vendredi","Samedi","Dimanche"))</x:f>
      </x:c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  <x:c r="AA75" s="43"/>
      <x:c r="AB75" s="43"/>
      <x:c r="AC75" s="43"/>
      <x:c r="AD75" s="43"/>
      <x:c r="AE75" s="43"/>
      <x:c r="AF75" s="43"/>
      <x:c r="AG75" s="67"/>
      <x:c r="AH75" s="43"/>
      <x:c r="AI75" s="43"/>
    </x:row>
    <x:row r="76">
      <x:c r="A76" s="43"/>
      <x:c r="B76" s="43"/>
      <x:c r="C76" s="43"/>
      <x:c r="D76" s="43" t="str">
        <x:f>IF(C76="","",YEAR(C76))</x:f>
      </x:c>
      <x:c r="E76" s="43" t="str">
        <x:f>IF(C76="","",MONTH(C76))</x:f>
      </x:c>
      <x:c r="F76" s="43" t="str">
        <x:f>IF(C76="","",WEEKNUM(C76,21))</x:f>
      </x:c>
      <x:c r="G76" s="43" t="str">
        <x:f>IF(C76="","",CHOOSE(WEEKDAY(C76,2),"Lundi","Mardi","Mercredi","Jeudi","Vendredi","Samedi","Dimanche"))</x:f>
      </x:c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  <x:c r="AA76" s="43"/>
      <x:c r="AB76" s="43"/>
      <x:c r="AC76" s="43"/>
      <x:c r="AD76" s="43"/>
      <x:c r="AE76" s="43"/>
      <x:c r="AF76" s="43"/>
      <x:c r="AG76" s="67"/>
      <x:c r="AH76" s="43"/>
      <x:c r="AI76" s="43"/>
    </x:row>
    <x:row r="77">
      <x:c r="A77" s="43"/>
      <x:c r="B77" s="43"/>
      <x:c r="C77" s="43"/>
      <x:c r="D77" s="43" t="str">
        <x:f>IF(C77="","",YEAR(C77))</x:f>
      </x:c>
      <x:c r="E77" s="43" t="str">
        <x:f>IF(C77="","",MONTH(C77))</x:f>
      </x:c>
      <x:c r="F77" s="43" t="str">
        <x:f>IF(C77="","",WEEKNUM(C77,21))</x:f>
      </x:c>
      <x:c r="G77" s="43" t="str">
        <x:f>IF(C77="","",CHOOSE(WEEKDAY(C77,2),"Lundi","Mardi","Mercredi","Jeudi","Vendredi","Samedi","Dimanche"))</x:f>
      </x:c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  <x:c r="AA77" s="43"/>
      <x:c r="AB77" s="43"/>
      <x:c r="AC77" s="43"/>
      <x:c r="AD77" s="43"/>
      <x:c r="AE77" s="43"/>
      <x:c r="AF77" s="43"/>
      <x:c r="AG77" s="67"/>
      <x:c r="AH77" s="43"/>
      <x:c r="AI77" s="43"/>
    </x:row>
    <x:row r="78">
      <x:c r="A78" s="43"/>
      <x:c r="B78" s="43"/>
      <x:c r="C78" s="43"/>
      <x:c r="D78" s="43" t="str">
        <x:f>IF(C78="","",YEAR(C78))</x:f>
      </x:c>
      <x:c r="E78" s="43" t="str">
        <x:f>IF(C78="","",MONTH(C78))</x:f>
      </x:c>
      <x:c r="F78" s="43" t="str">
        <x:f>IF(C78="","",WEEKNUM(C78,21))</x:f>
      </x:c>
      <x:c r="G78" s="43" t="str">
        <x:f>IF(C78="","",CHOOSE(WEEKDAY(C78,2),"Lundi","Mardi","Mercredi","Jeudi","Vendredi","Samedi","Dimanche"))</x:f>
      </x:c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  <x:c r="AA78" s="43"/>
      <x:c r="AB78" s="43"/>
      <x:c r="AC78" s="43"/>
      <x:c r="AD78" s="43"/>
      <x:c r="AE78" s="43"/>
      <x:c r="AF78" s="43"/>
      <x:c r="AG78" s="67"/>
      <x:c r="AH78" s="43"/>
      <x:c r="AI78" s="43"/>
    </x:row>
    <x:row r="79">
      <x:c r="A79" s="43"/>
      <x:c r="B79" s="43"/>
      <x:c r="C79" s="43"/>
      <x:c r="D79" s="43" t="str">
        <x:f>IF(C79="","",YEAR(C79))</x:f>
      </x:c>
      <x:c r="E79" s="43" t="str">
        <x:f>IF(C79="","",MONTH(C79))</x:f>
      </x:c>
      <x:c r="F79" s="43" t="str">
        <x:f>IF(C79="","",WEEKNUM(C79,21))</x:f>
      </x:c>
      <x:c r="G79" s="43" t="str">
        <x:f>IF(C79="","",CHOOSE(WEEKDAY(C79,2),"Lundi","Mardi","Mercredi","Jeudi","Vendredi","Samedi","Dimanche"))</x:f>
      </x:c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  <x:c r="AA79" s="43"/>
      <x:c r="AB79" s="43"/>
      <x:c r="AC79" s="43"/>
      <x:c r="AD79" s="43"/>
      <x:c r="AE79" s="43"/>
      <x:c r="AF79" s="43"/>
      <x:c r="AG79" s="67"/>
      <x:c r="AH79" s="43"/>
      <x:c r="AI79" s="43"/>
    </x:row>
    <x:row r="80">
      <x:c r="A80" s="43"/>
      <x:c r="B80" s="43"/>
      <x:c r="C80" s="43"/>
      <x:c r="D80" s="43" t="str">
        <x:f>IF(C80="","",YEAR(C80))</x:f>
      </x:c>
      <x:c r="E80" s="43" t="str">
        <x:f>IF(C80="","",MONTH(C80))</x:f>
      </x:c>
      <x:c r="F80" s="43" t="str">
        <x:f>IF(C80="","",WEEKNUM(C80,21))</x:f>
      </x:c>
      <x:c r="G80" s="43" t="str">
        <x:f>IF(C80="","",CHOOSE(WEEKDAY(C80,2),"Lundi","Mardi","Mercredi","Jeudi","Vendredi","Samedi","Dimanche"))</x:f>
      </x:c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  <x:c r="AA80" s="43"/>
      <x:c r="AB80" s="43"/>
      <x:c r="AC80" s="43"/>
      <x:c r="AD80" s="43"/>
      <x:c r="AE80" s="43"/>
      <x:c r="AF80" s="43"/>
      <x:c r="AG80" s="67"/>
      <x:c r="AH80" s="43"/>
      <x:c r="AI80" s="43"/>
    </x:row>
    <x:row r="81">
      <x:c r="A81" s="43"/>
      <x:c r="B81" s="43"/>
      <x:c r="C81" s="43"/>
      <x:c r="D81" s="43" t="str">
        <x:f>IF(C81="","",YEAR(C81))</x:f>
      </x:c>
      <x:c r="E81" s="43" t="str">
        <x:f>IF(C81="","",MONTH(C81))</x:f>
      </x:c>
      <x:c r="F81" s="43" t="str">
        <x:f>IF(C81="","",WEEKNUM(C81,21))</x:f>
      </x:c>
      <x:c r="G81" s="43" t="str">
        <x:f>IF(C81="","",CHOOSE(WEEKDAY(C81,2),"Lundi","Mardi","Mercredi","Jeudi","Vendredi","Samedi","Dimanche"))</x:f>
      </x:c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  <x:c r="AA81" s="43"/>
      <x:c r="AB81" s="43"/>
      <x:c r="AC81" s="43"/>
      <x:c r="AD81" s="43"/>
      <x:c r="AE81" s="43"/>
      <x:c r="AF81" s="43"/>
      <x:c r="AG81" s="67"/>
      <x:c r="AH81" s="43"/>
      <x:c r="AI81" s="43"/>
    </x:row>
    <x:row r="82">
      <x:c r="A82" s="43"/>
      <x:c r="B82" s="43"/>
      <x:c r="C82" s="43"/>
      <x:c r="D82" s="43" t="str">
        <x:f>IF(C82="","",YEAR(C82))</x:f>
      </x:c>
      <x:c r="E82" s="43" t="str">
        <x:f>IF(C82="","",MONTH(C82))</x:f>
      </x:c>
      <x:c r="F82" s="43" t="str">
        <x:f>IF(C82="","",WEEKNUM(C82,21))</x:f>
      </x:c>
      <x:c r="G82" s="43" t="str">
        <x:f>IF(C82="","",CHOOSE(WEEKDAY(C82,2),"Lundi","Mardi","Mercredi","Jeudi","Vendredi","Samedi","Dimanche"))</x:f>
      </x:c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  <x:c r="AA82" s="43"/>
      <x:c r="AB82" s="43"/>
      <x:c r="AC82" s="43"/>
      <x:c r="AD82" s="43"/>
      <x:c r="AE82" s="43"/>
      <x:c r="AF82" s="43"/>
      <x:c r="AG82" s="67"/>
      <x:c r="AH82" s="43"/>
      <x:c r="AI82" s="43"/>
    </x:row>
    <x:row r="83">
      <x:c r="A83" s="43"/>
      <x:c r="B83" s="43"/>
      <x:c r="C83" s="43"/>
      <x:c r="D83" s="43" t="str">
        <x:f>IF(C83="","",YEAR(C83))</x:f>
      </x:c>
      <x:c r="E83" s="43" t="str">
        <x:f>IF(C83="","",MONTH(C83))</x:f>
      </x:c>
      <x:c r="F83" s="43" t="str">
        <x:f>IF(C83="","",WEEKNUM(C83,21))</x:f>
      </x:c>
      <x:c r="G83" s="43" t="str">
        <x:f>IF(C83="","",CHOOSE(WEEKDAY(C83,2),"Lundi","Mardi","Mercredi","Jeudi","Vendredi","Samedi","Dimanche"))</x:f>
      </x:c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  <x:c r="AA83" s="43"/>
      <x:c r="AB83" s="43"/>
      <x:c r="AC83" s="43"/>
      <x:c r="AD83" s="43"/>
      <x:c r="AE83" s="43"/>
      <x:c r="AF83" s="43"/>
      <x:c r="AG83" s="67"/>
      <x:c r="AH83" s="43"/>
      <x:c r="AI83" s="43"/>
    </x:row>
    <x:row r="84">
      <x:c r="A84" s="43"/>
      <x:c r="B84" s="43"/>
      <x:c r="C84" s="43"/>
      <x:c r="D84" s="43" t="str">
        <x:f>IF(C84="","",YEAR(C84))</x:f>
      </x:c>
      <x:c r="E84" s="43" t="str">
        <x:f>IF(C84="","",MONTH(C84))</x:f>
      </x:c>
      <x:c r="F84" s="43" t="str">
        <x:f>IF(C84="","",WEEKNUM(C84,21))</x:f>
      </x:c>
      <x:c r="G84" s="43" t="str">
        <x:f>IF(C84="","",CHOOSE(WEEKDAY(C84,2),"Lundi","Mardi","Mercredi","Jeudi","Vendredi","Samedi","Dimanche"))</x:f>
      </x:c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  <x:c r="AA84" s="43"/>
      <x:c r="AB84" s="43"/>
      <x:c r="AC84" s="43"/>
      <x:c r="AD84" s="43"/>
      <x:c r="AE84" s="43"/>
      <x:c r="AF84" s="43"/>
      <x:c r="AG84" s="67"/>
      <x:c r="AH84" s="43"/>
      <x:c r="AI84" s="43"/>
    </x:row>
    <x:row r="85">
      <x:c r="A85" s="43"/>
      <x:c r="B85" s="43"/>
      <x:c r="C85" s="43"/>
      <x:c r="D85" s="43" t="str">
        <x:f>IF(C85="","",YEAR(C85))</x:f>
      </x:c>
      <x:c r="E85" s="43" t="str">
        <x:f>IF(C85="","",MONTH(C85))</x:f>
      </x:c>
      <x:c r="F85" s="43" t="str">
        <x:f>IF(C85="","",WEEKNUM(C85,21))</x:f>
      </x:c>
      <x:c r="G85" s="43" t="str">
        <x:f>IF(C85="","",CHOOSE(WEEKDAY(C85,2),"Lundi","Mardi","Mercredi","Jeudi","Vendredi","Samedi","Dimanche"))</x:f>
      </x:c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  <x:c r="AA85" s="43"/>
      <x:c r="AB85" s="43"/>
      <x:c r="AC85" s="43"/>
      <x:c r="AD85" s="43"/>
      <x:c r="AE85" s="43"/>
      <x:c r="AF85" s="43"/>
      <x:c r="AG85" s="67"/>
      <x:c r="AH85" s="43"/>
      <x:c r="AI85" s="43"/>
    </x:row>
    <x:row r="86">
      <x:c r="A86" s="43"/>
      <x:c r="B86" s="43"/>
      <x:c r="C86" s="43"/>
      <x:c r="D86" s="43" t="str">
        <x:f>IF(C86="","",YEAR(C86))</x:f>
      </x:c>
      <x:c r="E86" s="43" t="str">
        <x:f>IF(C86="","",MONTH(C86))</x:f>
      </x:c>
      <x:c r="F86" s="43" t="str">
        <x:f>IF(C86="","",WEEKNUM(C86,21))</x:f>
      </x:c>
      <x:c r="G86" s="43" t="str">
        <x:f>IF(C86="","",CHOOSE(WEEKDAY(C86,2),"Lundi","Mardi","Mercredi","Jeudi","Vendredi","Samedi","Dimanche"))</x:f>
      </x:c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  <x:c r="AA86" s="43"/>
      <x:c r="AB86" s="43"/>
      <x:c r="AC86" s="43"/>
      <x:c r="AD86" s="43"/>
      <x:c r="AE86" s="43"/>
      <x:c r="AF86" s="43"/>
      <x:c r="AG86" s="67"/>
      <x:c r="AH86" s="43"/>
      <x:c r="AI86" s="43"/>
    </x:row>
    <x:row r="87">
      <x:c r="A87" s="43"/>
      <x:c r="B87" s="43"/>
      <x:c r="C87" s="43"/>
      <x:c r="D87" s="43" t="str">
        <x:f>IF(C87="","",YEAR(C87))</x:f>
      </x:c>
      <x:c r="E87" s="43" t="str">
        <x:f>IF(C87="","",MONTH(C87))</x:f>
      </x:c>
      <x:c r="F87" s="43" t="str">
        <x:f>IF(C87="","",WEEKNUM(C87,21))</x:f>
      </x:c>
      <x:c r="G87" s="43" t="str">
        <x:f>IF(C87="","",CHOOSE(WEEKDAY(C87,2),"Lundi","Mardi","Mercredi","Jeudi","Vendredi","Samedi","Dimanche"))</x:f>
      </x:c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  <x:c r="AA87" s="43"/>
      <x:c r="AB87" s="43"/>
      <x:c r="AC87" s="43"/>
      <x:c r="AD87" s="43"/>
      <x:c r="AE87" s="43"/>
      <x:c r="AF87" s="43"/>
      <x:c r="AG87" s="67"/>
      <x:c r="AH87" s="43"/>
      <x:c r="AI87" s="43"/>
    </x:row>
    <x:row r="88">
      <x:c r="A88" s="43"/>
      <x:c r="B88" s="43"/>
      <x:c r="C88" s="43"/>
      <x:c r="D88" s="43" t="str">
        <x:f>IF(C88="","",YEAR(C88))</x:f>
      </x:c>
      <x:c r="E88" s="43" t="str">
        <x:f>IF(C88="","",MONTH(C88))</x:f>
      </x:c>
      <x:c r="F88" s="43" t="str">
        <x:f>IF(C88="","",WEEKNUM(C88,21))</x:f>
      </x:c>
      <x:c r="G88" s="43" t="str">
        <x:f>IF(C88="","",CHOOSE(WEEKDAY(C88,2),"Lundi","Mardi","Mercredi","Jeudi","Vendredi","Samedi","Dimanche"))</x:f>
      </x:c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  <x:c r="AA88" s="43"/>
      <x:c r="AB88" s="43"/>
      <x:c r="AC88" s="43"/>
      <x:c r="AD88" s="43"/>
      <x:c r="AE88" s="43"/>
      <x:c r="AF88" s="43"/>
      <x:c r="AG88" s="67"/>
      <x:c r="AH88" s="43"/>
      <x:c r="AI88" s="43"/>
    </x:row>
    <x:row r="89">
      <x:c r="A89" s="43"/>
      <x:c r="B89" s="43"/>
      <x:c r="C89" s="43"/>
      <x:c r="D89" s="43" t="str">
        <x:f>IF(C89="","",YEAR(C89))</x:f>
      </x:c>
      <x:c r="E89" s="43" t="str">
        <x:f>IF(C89="","",MONTH(C89))</x:f>
      </x:c>
      <x:c r="F89" s="43" t="str">
        <x:f>IF(C89="","",WEEKNUM(C89,21))</x:f>
      </x:c>
      <x:c r="G89" s="43" t="str">
        <x:f>IF(C89="","",CHOOSE(WEEKDAY(C89,2),"Lundi","Mardi","Mercredi","Jeudi","Vendredi","Samedi","Dimanche"))</x:f>
      </x:c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  <x:c r="AA89" s="43"/>
      <x:c r="AB89" s="43"/>
      <x:c r="AC89" s="43"/>
      <x:c r="AD89" s="43"/>
      <x:c r="AE89" s="43"/>
      <x:c r="AF89" s="43"/>
      <x:c r="AG89" s="67"/>
      <x:c r="AH89" s="43"/>
      <x:c r="AI89" s="43"/>
    </x:row>
    <x:row r="90">
      <x:c r="A90" s="43"/>
      <x:c r="B90" s="43"/>
      <x:c r="C90" s="43"/>
      <x:c r="D90" s="43" t="str">
        <x:f>IF(C90="","",YEAR(C90))</x:f>
      </x:c>
      <x:c r="E90" s="43" t="str">
        <x:f>IF(C90="","",MONTH(C90))</x:f>
      </x:c>
      <x:c r="F90" s="43" t="str">
        <x:f>IF(C90="","",WEEKNUM(C90,21))</x:f>
      </x:c>
      <x:c r="G90" s="43" t="str">
        <x:f>IF(C90="","",CHOOSE(WEEKDAY(C90,2),"Lundi","Mardi","Mercredi","Jeudi","Vendredi","Samedi","Dimanche"))</x:f>
      </x:c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  <x:c r="AA90" s="43"/>
      <x:c r="AB90" s="43"/>
      <x:c r="AC90" s="43"/>
      <x:c r="AD90" s="43"/>
      <x:c r="AE90" s="43"/>
      <x:c r="AF90" s="43"/>
      <x:c r="AG90" s="67"/>
      <x:c r="AH90" s="43"/>
      <x:c r="AI90" s="43"/>
    </x:row>
    <x:row r="91">
      <x:c r="A91" s="43"/>
      <x:c r="B91" s="43"/>
      <x:c r="C91" s="43"/>
      <x:c r="D91" s="43" t="str">
        <x:f>IF(C91="","",YEAR(C91))</x:f>
      </x:c>
      <x:c r="E91" s="43" t="str">
        <x:f>IF(C91="","",MONTH(C91))</x:f>
      </x:c>
      <x:c r="F91" s="43" t="str">
        <x:f>IF(C91="","",WEEKNUM(C91,21))</x:f>
      </x:c>
      <x:c r="G91" s="43" t="str">
        <x:f>IF(C91="","",CHOOSE(WEEKDAY(C91,2),"Lundi","Mardi","Mercredi","Jeudi","Vendredi","Samedi","Dimanche"))</x:f>
      </x:c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  <x:c r="AA91" s="43"/>
      <x:c r="AB91" s="43"/>
      <x:c r="AC91" s="43"/>
      <x:c r="AD91" s="43"/>
      <x:c r="AE91" s="43"/>
      <x:c r="AF91" s="43"/>
      <x:c r="AG91" s="67"/>
      <x:c r="AH91" s="43"/>
      <x:c r="AI91" s="43"/>
    </x:row>
    <x:row r="92">
      <x:c r="A92" s="43"/>
      <x:c r="B92" s="43"/>
      <x:c r="C92" s="43"/>
      <x:c r="D92" s="43" t="str">
        <x:f>IF(C92="","",YEAR(C92))</x:f>
      </x:c>
      <x:c r="E92" s="43" t="str">
        <x:f>IF(C92="","",MONTH(C92))</x:f>
      </x:c>
      <x:c r="F92" s="43" t="str">
        <x:f>IF(C92="","",WEEKNUM(C92,21))</x:f>
      </x:c>
      <x:c r="G92" s="43" t="str">
        <x:f>IF(C92="","",CHOOSE(WEEKDAY(C92,2),"Lundi","Mardi","Mercredi","Jeudi","Vendredi","Samedi","Dimanche"))</x:f>
      </x:c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  <x:c r="AA92" s="43"/>
      <x:c r="AB92" s="43"/>
      <x:c r="AC92" s="43"/>
      <x:c r="AD92" s="43"/>
      <x:c r="AE92" s="43"/>
      <x:c r="AF92" s="43"/>
      <x:c r="AG92" s="67"/>
      <x:c r="AH92" s="43"/>
      <x:c r="AI92" s="43"/>
    </x:row>
    <x:row r="93">
      <x:c r="A93" s="43"/>
      <x:c r="B93" s="43"/>
      <x:c r="C93" s="43"/>
      <x:c r="D93" s="43" t="str">
        <x:f>IF(C93="","",YEAR(C93))</x:f>
      </x:c>
      <x:c r="E93" s="43" t="str">
        <x:f>IF(C93="","",MONTH(C93))</x:f>
      </x:c>
      <x:c r="F93" s="43" t="str">
        <x:f>IF(C93="","",WEEKNUM(C93,21))</x:f>
      </x:c>
      <x:c r="G93" s="43" t="str">
        <x:f>IF(C93="","",CHOOSE(WEEKDAY(C93,2),"Lundi","Mardi","Mercredi","Jeudi","Vendredi","Samedi","Dimanche"))</x:f>
      </x:c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  <x:c r="AA93" s="43"/>
      <x:c r="AB93" s="43"/>
      <x:c r="AC93" s="43"/>
      <x:c r="AD93" s="43"/>
      <x:c r="AE93" s="43"/>
      <x:c r="AF93" s="43"/>
      <x:c r="AG93" s="67"/>
      <x:c r="AH93" s="43"/>
      <x:c r="AI93" s="43"/>
    </x:row>
    <x:row r="94">
      <x:c r="A94" s="43"/>
      <x:c r="B94" s="43"/>
      <x:c r="C94" s="43"/>
      <x:c r="D94" s="43" t="str">
        <x:f>IF(C94="","",YEAR(C94))</x:f>
      </x:c>
      <x:c r="E94" s="43" t="str">
        <x:f>IF(C94="","",MONTH(C94))</x:f>
      </x:c>
      <x:c r="F94" s="43" t="str">
        <x:f>IF(C94="","",WEEKNUM(C94,21))</x:f>
      </x:c>
      <x:c r="G94" s="43" t="str">
        <x:f>IF(C94="","",CHOOSE(WEEKDAY(C94,2),"Lundi","Mardi","Mercredi","Jeudi","Vendredi","Samedi","Dimanche"))</x:f>
      </x:c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  <x:c r="AA94" s="43"/>
      <x:c r="AB94" s="43"/>
      <x:c r="AC94" s="43"/>
      <x:c r="AD94" s="43"/>
      <x:c r="AE94" s="43"/>
      <x:c r="AF94" s="43"/>
      <x:c r="AG94" s="67"/>
      <x:c r="AH94" s="43"/>
      <x:c r="AI94" s="43"/>
    </x:row>
    <x:row r="95">
      <x:c r="A95" s="43"/>
      <x:c r="B95" s="43"/>
      <x:c r="C95" s="43"/>
      <x:c r="D95" s="43" t="str">
        <x:f>IF(C95="","",YEAR(C95))</x:f>
      </x:c>
      <x:c r="E95" s="43" t="str">
        <x:f>IF(C95="","",MONTH(C95))</x:f>
      </x:c>
      <x:c r="F95" s="43" t="str">
        <x:f>IF(C95="","",WEEKNUM(C95,21))</x:f>
      </x:c>
      <x:c r="G95" s="43" t="str">
        <x:f>IF(C95="","",CHOOSE(WEEKDAY(C95,2),"Lundi","Mardi","Mercredi","Jeudi","Vendredi","Samedi","Dimanche"))</x:f>
      </x:c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  <x:c r="AA95" s="43"/>
      <x:c r="AB95" s="43"/>
      <x:c r="AC95" s="43"/>
      <x:c r="AD95" s="43"/>
      <x:c r="AE95" s="43"/>
      <x:c r="AF95" s="43"/>
      <x:c r="AG95" s="67"/>
      <x:c r="AH95" s="43"/>
      <x:c r="AI95" s="43"/>
    </x:row>
    <x:row r="96">
      <x:c r="A96" s="43"/>
      <x:c r="B96" s="43"/>
      <x:c r="C96" s="43"/>
      <x:c r="D96" s="43" t="str">
        <x:f>IF(C96="","",YEAR(C96))</x:f>
      </x:c>
      <x:c r="E96" s="43" t="str">
        <x:f>IF(C96="","",MONTH(C96))</x:f>
      </x:c>
      <x:c r="F96" s="43" t="str">
        <x:f>IF(C96="","",WEEKNUM(C96,21))</x:f>
      </x:c>
      <x:c r="G96" s="43" t="str">
        <x:f>IF(C96="","",CHOOSE(WEEKDAY(C96,2),"Lundi","Mardi","Mercredi","Jeudi","Vendredi","Samedi","Dimanche"))</x:f>
      </x:c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  <x:c r="AA96" s="43"/>
      <x:c r="AB96" s="43"/>
      <x:c r="AC96" s="43"/>
      <x:c r="AD96" s="43"/>
      <x:c r="AE96" s="43"/>
      <x:c r="AF96" s="43"/>
      <x:c r="AG96" s="67"/>
      <x:c r="AH96" s="43"/>
      <x:c r="AI96" s="43"/>
    </x:row>
    <x:row r="97">
      <x:c r="A97" s="43"/>
      <x:c r="B97" s="43"/>
      <x:c r="C97" s="43"/>
      <x:c r="D97" s="43" t="str">
        <x:f>IF(C97="","",YEAR(C97))</x:f>
      </x:c>
      <x:c r="E97" s="43" t="str">
        <x:f>IF(C97="","",MONTH(C97))</x:f>
      </x:c>
      <x:c r="F97" s="43" t="str">
        <x:f>IF(C97="","",WEEKNUM(C97,21))</x:f>
      </x:c>
      <x:c r="G97" s="43" t="str">
        <x:f>IF(C97="","",CHOOSE(WEEKDAY(C97,2),"Lundi","Mardi","Mercredi","Jeudi","Vendredi","Samedi","Dimanche"))</x:f>
      </x:c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  <x:c r="AA97" s="43"/>
      <x:c r="AB97" s="43"/>
      <x:c r="AC97" s="43"/>
      <x:c r="AD97" s="43"/>
      <x:c r="AE97" s="43"/>
      <x:c r="AF97" s="43"/>
      <x:c r="AG97" s="67"/>
      <x:c r="AH97" s="43"/>
      <x:c r="AI97" s="43"/>
    </x:row>
    <x:row r="98">
      <x:c r="A98" s="43"/>
      <x:c r="B98" s="43"/>
      <x:c r="C98" s="43"/>
      <x:c r="D98" s="43" t="str">
        <x:f>IF(C98="","",YEAR(C98))</x:f>
      </x:c>
      <x:c r="E98" s="43" t="str">
        <x:f>IF(C98="","",MONTH(C98))</x:f>
      </x:c>
      <x:c r="F98" s="43" t="str">
        <x:f>IF(C98="","",WEEKNUM(C98,21))</x:f>
      </x:c>
      <x:c r="G98" s="43" t="str">
        <x:f>IF(C98="","",CHOOSE(WEEKDAY(C98,2),"Lundi","Mardi","Mercredi","Jeudi","Vendredi","Samedi","Dimanche"))</x:f>
      </x:c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  <x:c r="AA98" s="43"/>
      <x:c r="AB98" s="43"/>
      <x:c r="AC98" s="43"/>
      <x:c r="AD98" s="43"/>
      <x:c r="AE98" s="43"/>
      <x:c r="AF98" s="43"/>
      <x:c r="AG98" s="67"/>
      <x:c r="AH98" s="43"/>
      <x:c r="AI98" s="43"/>
    </x:row>
    <x:row r="99">
      <x:c r="A99" s="43"/>
      <x:c r="B99" s="43"/>
      <x:c r="C99" s="43"/>
      <x:c r="D99" s="43" t="str">
        <x:f>IF(C99="","",YEAR(C99))</x:f>
      </x:c>
      <x:c r="E99" s="43" t="str">
        <x:f>IF(C99="","",MONTH(C99))</x:f>
      </x:c>
      <x:c r="F99" s="43" t="str">
        <x:f>IF(C99="","",WEEKNUM(C99,21))</x:f>
      </x:c>
      <x:c r="G99" s="43" t="str">
        <x:f>IF(C99="","",CHOOSE(WEEKDAY(C99,2),"Lundi","Mardi","Mercredi","Jeudi","Vendredi","Samedi","Dimanche"))</x:f>
      </x:c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  <x:c r="AA99" s="43"/>
      <x:c r="AB99" s="43"/>
      <x:c r="AC99" s="43"/>
      <x:c r="AD99" s="43"/>
      <x:c r="AE99" s="43"/>
      <x:c r="AF99" s="43"/>
      <x:c r="AG99" s="67"/>
      <x:c r="AH99" s="43"/>
      <x:c r="AI99" s="43"/>
    </x:row>
    <x:row r="100">
      <x:c r="A100" s="43"/>
      <x:c r="B100" s="43"/>
      <x:c r="C100" s="43"/>
      <x:c r="D100" s="43" t="str">
        <x:f>IF(C100="","",YEAR(C100))</x:f>
      </x:c>
      <x:c r="E100" s="43" t="str">
        <x:f>IF(C100="","",MONTH(C100))</x:f>
      </x:c>
      <x:c r="F100" s="43" t="str">
        <x:f>IF(C100="","",WEEKNUM(C100,21))</x:f>
      </x:c>
      <x:c r="G100" s="43" t="str">
        <x:f>IF(C100="","",CHOOSE(WEEKDAY(C100,2),"Lundi","Mardi","Mercredi","Jeudi","Vendredi","Samedi","Dimanche"))</x:f>
      </x:c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  <x:c r="AA100" s="43"/>
      <x:c r="AB100" s="43"/>
      <x:c r="AC100" s="43"/>
      <x:c r="AD100" s="43"/>
      <x:c r="AE100" s="43"/>
      <x:c r="AF100" s="43"/>
      <x:c r="AG100" s="67"/>
      <x:c r="AH100" s="43"/>
      <x:c r="AI100" s="43"/>
    </x:row>
    <x:row r="101">
      <x:c r="A101" s="43"/>
      <x:c r="B101" s="43"/>
      <x:c r="C101" s="43"/>
      <x:c r="D101" s="43" t="str">
        <x:f>IF(C101="","",YEAR(C101))</x:f>
      </x:c>
      <x:c r="E101" s="43" t="str">
        <x:f>IF(C101="","",MONTH(C101))</x:f>
      </x:c>
      <x:c r="F101" s="43" t="str">
        <x:f>IF(C101="","",WEEKNUM(C101,21))</x:f>
      </x:c>
      <x:c r="G101" s="43" t="str">
        <x:f>IF(C101="","",CHOOSE(WEEKDAY(C101,2),"Lundi","Mardi","Mercredi","Jeudi","Vendredi","Samedi","Dimanche"))</x:f>
      </x:c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  <x:c r="AA101" s="43"/>
      <x:c r="AB101" s="43"/>
      <x:c r="AC101" s="43"/>
      <x:c r="AD101" s="43"/>
      <x:c r="AE101" s="43"/>
      <x:c r="AF101" s="43"/>
      <x:c r="AG101" s="67"/>
      <x:c r="AH101" s="43"/>
      <x:c r="AI101" s="43"/>
    </x:row>
    <x:row r="102">
      <x:c r="A102" s="43"/>
      <x:c r="B102" s="43"/>
      <x:c r="C102" s="43"/>
      <x:c r="D102" s="43" t="str">
        <x:f>IF(C102="","",YEAR(C102))</x:f>
      </x:c>
      <x:c r="E102" s="43" t="str">
        <x:f>IF(C102="","",MONTH(C102))</x:f>
      </x:c>
      <x:c r="F102" s="43" t="str">
        <x:f>IF(C102="","",WEEKNUM(C102,21))</x:f>
      </x:c>
      <x:c r="G102" s="43" t="str">
        <x:f>IF(C102="","",CHOOSE(WEEKDAY(C102,2),"Lundi","Mardi","Mercredi","Jeudi","Vendredi","Samedi","Dimanche"))</x:f>
      </x:c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  <x:c r="AA102" s="43"/>
      <x:c r="AB102" s="43"/>
      <x:c r="AC102" s="43"/>
      <x:c r="AD102" s="43"/>
      <x:c r="AE102" s="43"/>
      <x:c r="AF102" s="43"/>
      <x:c r="AG102" s="67"/>
      <x:c r="AH102" s="43"/>
      <x:c r="AI102" s="43"/>
    </x:row>
    <x:row r="103">
      <x:c r="A103" s="43"/>
      <x:c r="B103" s="43"/>
      <x:c r="C103" s="43"/>
      <x:c r="D103" s="43" t="str">
        <x:f>IF(C103="","",YEAR(C103))</x:f>
      </x:c>
      <x:c r="E103" s="43" t="str">
        <x:f>IF(C103="","",MONTH(C103))</x:f>
      </x:c>
      <x:c r="F103" s="43" t="str">
        <x:f>IF(C103="","",WEEKNUM(C103,21))</x:f>
      </x:c>
      <x:c r="G103" s="43" t="str">
        <x:f>IF(C103="","",CHOOSE(WEEKDAY(C103,2),"Lundi","Mardi","Mercredi","Jeudi","Vendredi","Samedi","Dimanche"))</x:f>
      </x:c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  <x:c r="AA103" s="43"/>
      <x:c r="AB103" s="43"/>
      <x:c r="AC103" s="43"/>
      <x:c r="AD103" s="43"/>
      <x:c r="AE103" s="43"/>
      <x:c r="AF103" s="43"/>
      <x:c r="AG103" s="67"/>
      <x:c r="AH103" s="43"/>
      <x:c r="AI103" s="43"/>
    </x:row>
    <x:row r="104">
      <x:c r="A104" s="43"/>
      <x:c r="B104" s="43"/>
      <x:c r="C104" s="43"/>
      <x:c r="D104" s="43" t="str">
        <x:f>IF(C104="","",YEAR(C104))</x:f>
      </x:c>
      <x:c r="E104" s="43" t="str">
        <x:f>IF(C104="","",MONTH(C104))</x:f>
      </x:c>
      <x:c r="F104" s="43" t="str">
        <x:f>IF(C104="","",WEEKNUM(C104,21))</x:f>
      </x:c>
      <x:c r="G104" s="43" t="str">
        <x:f>IF(C104="","",CHOOSE(WEEKDAY(C104,2),"Lundi","Mardi","Mercredi","Jeudi","Vendredi","Samedi","Dimanche"))</x:f>
      </x:c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  <x:c r="AA104" s="43"/>
      <x:c r="AB104" s="43"/>
      <x:c r="AC104" s="43"/>
      <x:c r="AD104" s="43"/>
      <x:c r="AE104" s="43"/>
      <x:c r="AF104" s="43"/>
      <x:c r="AG104" s="67"/>
      <x:c r="AH104" s="43"/>
      <x:c r="AI104" s="43"/>
    </x:row>
    <x:row r="105">
      <x:c r="A105" s="43"/>
      <x:c r="B105" s="43"/>
      <x:c r="C105" s="43"/>
      <x:c r="D105" s="43" t="str">
        <x:f>IF(C105="","",YEAR(C105))</x:f>
      </x:c>
      <x:c r="E105" s="43" t="str">
        <x:f>IF(C105="","",MONTH(C105))</x:f>
      </x:c>
      <x:c r="F105" s="43" t="str">
        <x:f>IF(C105="","",WEEKNUM(C105,21))</x:f>
      </x:c>
      <x:c r="G105" s="43" t="str">
        <x:f>IF(C105="","",CHOOSE(WEEKDAY(C105,2),"Lundi","Mardi","Mercredi","Jeudi","Vendredi","Samedi","Dimanche"))</x:f>
      </x:c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  <x:c r="AA105" s="43"/>
      <x:c r="AB105" s="43"/>
      <x:c r="AC105" s="43"/>
      <x:c r="AD105" s="43"/>
      <x:c r="AE105" s="43"/>
      <x:c r="AF105" s="43"/>
      <x:c r="AG105" s="67"/>
      <x:c r="AH105" s="43"/>
      <x:c r="AI105" s="43"/>
    </x:row>
    <x:row r="106">
      <x:c r="A106" s="43"/>
      <x:c r="B106" s="43"/>
      <x:c r="C106" s="43"/>
      <x:c r="D106" s="43" t="str">
        <x:f>IF(C106="","",YEAR(C106))</x:f>
      </x:c>
      <x:c r="E106" s="43" t="str">
        <x:f>IF(C106="","",MONTH(C106))</x:f>
      </x:c>
      <x:c r="F106" s="43" t="str">
        <x:f>IF(C106="","",WEEKNUM(C106,21))</x:f>
      </x:c>
      <x:c r="G106" s="43" t="str">
        <x:f>IF(C106="","",CHOOSE(WEEKDAY(C106,2),"Lundi","Mardi","Mercredi","Jeudi","Vendredi","Samedi","Dimanche"))</x:f>
      </x:c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  <x:c r="AA106" s="43"/>
      <x:c r="AB106" s="43"/>
      <x:c r="AC106" s="43"/>
      <x:c r="AD106" s="43"/>
      <x:c r="AE106" s="43"/>
      <x:c r="AF106" s="43"/>
      <x:c r="AG106" s="67"/>
      <x:c r="AH106" s="43"/>
      <x:c r="AI106" s="43"/>
    </x:row>
    <x:row r="107">
      <x:c r="A107" s="43"/>
      <x:c r="B107" s="43"/>
      <x:c r="C107" s="43"/>
      <x:c r="D107" s="43" t="str">
        <x:f>IF(C107="","",YEAR(C107))</x:f>
      </x:c>
      <x:c r="E107" s="43" t="str">
        <x:f>IF(C107="","",MONTH(C107))</x:f>
      </x:c>
      <x:c r="F107" s="43" t="str">
        <x:f>IF(C107="","",WEEKNUM(C107,21))</x:f>
      </x:c>
      <x:c r="G107" s="43" t="str">
        <x:f>IF(C107="","",CHOOSE(WEEKDAY(C107,2),"Lundi","Mardi","Mercredi","Jeudi","Vendredi","Samedi","Dimanche"))</x:f>
      </x:c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  <x:c r="AA107" s="43"/>
      <x:c r="AB107" s="43"/>
      <x:c r="AC107" s="43"/>
      <x:c r="AD107" s="43"/>
      <x:c r="AE107" s="43"/>
      <x:c r="AF107" s="43"/>
      <x:c r="AG107" s="67"/>
      <x:c r="AH107" s="43"/>
      <x:c r="AI107" s="43"/>
    </x:row>
    <x:row r="108">
      <x:c r="A108" s="43"/>
      <x:c r="B108" s="43"/>
      <x:c r="C108" s="43"/>
      <x:c r="D108" s="43" t="str">
        <x:f>IF(C108="","",YEAR(C108))</x:f>
      </x:c>
      <x:c r="E108" s="43" t="str">
        <x:f>IF(C108="","",MONTH(C108))</x:f>
      </x:c>
      <x:c r="F108" s="43" t="str">
        <x:f>IF(C108="","",WEEKNUM(C108,21))</x:f>
      </x:c>
      <x:c r="G108" s="43" t="str">
        <x:f>IF(C108="","",CHOOSE(WEEKDAY(C108,2),"Lundi","Mardi","Mercredi","Jeudi","Vendredi","Samedi","Dimanche"))</x:f>
      </x:c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  <x:c r="AA108" s="43"/>
      <x:c r="AB108" s="43"/>
      <x:c r="AC108" s="43"/>
      <x:c r="AD108" s="43"/>
      <x:c r="AE108" s="43"/>
      <x:c r="AF108" s="43"/>
      <x:c r="AG108" s="67"/>
      <x:c r="AH108" s="43"/>
      <x:c r="AI108" s="43"/>
    </x:row>
    <x:row r="109">
      <x:c r="A109" s="43"/>
      <x:c r="B109" s="43"/>
      <x:c r="C109" s="43"/>
      <x:c r="D109" s="43" t="str">
        <x:f>IF(C109="","",YEAR(C109))</x:f>
      </x:c>
      <x:c r="E109" s="43" t="str">
        <x:f>IF(C109="","",MONTH(C109))</x:f>
      </x:c>
      <x:c r="F109" s="43" t="str">
        <x:f>IF(C109="","",WEEKNUM(C109,21))</x:f>
      </x:c>
      <x:c r="G109" s="43" t="str">
        <x:f>IF(C109="","",CHOOSE(WEEKDAY(C109,2),"Lundi","Mardi","Mercredi","Jeudi","Vendredi","Samedi","Dimanche"))</x:f>
      </x:c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  <x:c r="AA109" s="43"/>
      <x:c r="AB109" s="43"/>
      <x:c r="AC109" s="43"/>
      <x:c r="AD109" s="43"/>
      <x:c r="AE109" s="43"/>
      <x:c r="AF109" s="43"/>
      <x:c r="AG109" s="67"/>
      <x:c r="AH109" s="43"/>
      <x:c r="AI109" s="43"/>
    </x:row>
    <x:row r="110">
      <x:c r="A110" s="43"/>
      <x:c r="B110" s="43"/>
      <x:c r="C110" s="43"/>
      <x:c r="D110" s="43" t="str">
        <x:f>IF(C110="","",YEAR(C110))</x:f>
      </x:c>
      <x:c r="E110" s="43" t="str">
        <x:f>IF(C110="","",MONTH(C110))</x:f>
      </x:c>
      <x:c r="F110" s="43" t="str">
        <x:f>IF(C110="","",WEEKNUM(C110,21))</x:f>
      </x:c>
      <x:c r="G110" s="43" t="str">
        <x:f>IF(C110="","",CHOOSE(WEEKDAY(C110,2),"Lundi","Mardi","Mercredi","Jeudi","Vendredi","Samedi","Dimanche"))</x:f>
      </x:c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  <x:c r="AA110" s="43"/>
      <x:c r="AB110" s="43"/>
      <x:c r="AC110" s="43"/>
      <x:c r="AD110" s="43"/>
      <x:c r="AE110" s="43"/>
      <x:c r="AF110" s="43"/>
      <x:c r="AG110" s="67"/>
      <x:c r="AH110" s="43"/>
      <x:c r="AI110" s="43"/>
    </x:row>
    <x:row r="111">
      <x:c r="A111" s="43"/>
      <x:c r="B111" s="43"/>
      <x:c r="C111" s="43"/>
      <x:c r="D111" s="43" t="str">
        <x:f>IF(C111="","",YEAR(C111))</x:f>
      </x:c>
      <x:c r="E111" s="43" t="str">
        <x:f>IF(C111="","",MONTH(C111))</x:f>
      </x:c>
      <x:c r="F111" s="43" t="str">
        <x:f>IF(C111="","",WEEKNUM(C111,21))</x:f>
      </x:c>
      <x:c r="G111" s="43" t="str">
        <x:f>IF(C111="","",CHOOSE(WEEKDAY(C111,2),"Lundi","Mardi","Mercredi","Jeudi","Vendredi","Samedi","Dimanche"))</x:f>
      </x:c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  <x:c r="AA111" s="43"/>
      <x:c r="AB111" s="43"/>
      <x:c r="AC111" s="43"/>
      <x:c r="AD111" s="43"/>
      <x:c r="AE111" s="43"/>
      <x:c r="AF111" s="43"/>
      <x:c r="AG111" s="67"/>
      <x:c r="AH111" s="43"/>
      <x:c r="AI111" s="43"/>
    </x:row>
    <x:row r="112">
      <x:c r="A112" s="43"/>
      <x:c r="B112" s="43"/>
      <x:c r="C112" s="43"/>
      <x:c r="D112" s="43" t="str">
        <x:f>IF(C112="","",YEAR(C112))</x:f>
      </x:c>
      <x:c r="E112" s="43" t="str">
        <x:f>IF(C112="","",MONTH(C112))</x:f>
      </x:c>
      <x:c r="F112" s="43" t="str">
        <x:f>IF(C112="","",WEEKNUM(C112,21))</x:f>
      </x:c>
      <x:c r="G112" s="43" t="str">
        <x:f>IF(C112="","",CHOOSE(WEEKDAY(C112,2),"Lundi","Mardi","Mercredi","Jeudi","Vendredi","Samedi","Dimanche"))</x:f>
      </x:c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  <x:c r="AA112" s="43"/>
      <x:c r="AB112" s="43"/>
      <x:c r="AC112" s="43"/>
      <x:c r="AD112" s="43"/>
      <x:c r="AE112" s="43"/>
      <x:c r="AF112" s="43"/>
      <x:c r="AG112" s="67"/>
      <x:c r="AH112" s="43"/>
      <x:c r="AI112" s="43"/>
    </x:row>
    <x:row r="113">
      <x:c r="A113" s="43"/>
      <x:c r="B113" s="43"/>
      <x:c r="C113" s="43"/>
      <x:c r="D113" s="43" t="str">
        <x:f>IF(C113="","",YEAR(C113))</x:f>
      </x:c>
      <x:c r="E113" s="43" t="str">
        <x:f>IF(C113="","",MONTH(C113))</x:f>
      </x:c>
      <x:c r="F113" s="43" t="str">
        <x:f>IF(C113="","",WEEKNUM(C113,21))</x:f>
      </x:c>
      <x:c r="G113" s="43" t="str">
        <x:f>IF(C113="","",CHOOSE(WEEKDAY(C113,2),"Lundi","Mardi","Mercredi","Jeudi","Vendredi","Samedi","Dimanche"))</x:f>
      </x:c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  <x:c r="AA113" s="43"/>
      <x:c r="AB113" s="43"/>
      <x:c r="AC113" s="43"/>
      <x:c r="AD113" s="43"/>
      <x:c r="AE113" s="43"/>
      <x:c r="AF113" s="43"/>
      <x:c r="AG113" s="67"/>
      <x:c r="AH113" s="43"/>
      <x:c r="AI113" s="43"/>
    </x:row>
    <x:row r="114">
      <x:c r="A114" s="43"/>
      <x:c r="B114" s="43"/>
      <x:c r="C114" s="43"/>
      <x:c r="D114" s="43" t="str">
        <x:f>IF(C114="","",YEAR(C114))</x:f>
      </x:c>
      <x:c r="E114" s="43" t="str">
        <x:f>IF(C114="","",MONTH(C114))</x:f>
      </x:c>
      <x:c r="F114" s="43" t="str">
        <x:f>IF(C114="","",WEEKNUM(C114,21))</x:f>
      </x:c>
      <x:c r="G114" s="43" t="str">
        <x:f>IF(C114="","",CHOOSE(WEEKDAY(C114,2),"Lundi","Mardi","Mercredi","Jeudi","Vendredi","Samedi","Dimanche"))</x:f>
      </x:c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  <x:c r="AA114" s="43"/>
      <x:c r="AB114" s="43"/>
      <x:c r="AC114" s="43"/>
      <x:c r="AD114" s="43"/>
      <x:c r="AE114" s="43"/>
      <x:c r="AF114" s="43"/>
      <x:c r="AG114" s="67"/>
      <x:c r="AH114" s="43"/>
      <x:c r="AI114" s="43"/>
    </x:row>
    <x:row r="115">
      <x:c r="A115" s="43"/>
      <x:c r="B115" s="43"/>
      <x:c r="C115" s="43"/>
      <x:c r="D115" s="43" t="str">
        <x:f>IF(C115="","",YEAR(C115))</x:f>
      </x:c>
      <x:c r="E115" s="43" t="str">
        <x:f>IF(C115="","",MONTH(C115))</x:f>
      </x:c>
      <x:c r="F115" s="43" t="str">
        <x:f>IF(C115="","",WEEKNUM(C115,21))</x:f>
      </x:c>
      <x:c r="G115" s="43" t="str">
        <x:f>IF(C115="","",CHOOSE(WEEKDAY(C115,2),"Lundi","Mardi","Mercredi","Jeudi","Vendredi","Samedi","Dimanche"))</x:f>
      </x:c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  <x:c r="AA115" s="43"/>
      <x:c r="AB115" s="43"/>
      <x:c r="AC115" s="43"/>
      <x:c r="AD115" s="43"/>
      <x:c r="AE115" s="43"/>
      <x:c r="AF115" s="43"/>
      <x:c r="AG115" s="67"/>
      <x:c r="AH115" s="43"/>
      <x:c r="AI115" s="43"/>
    </x:row>
    <x:row r="116">
      <x:c r="A116" s="43"/>
      <x:c r="B116" s="43"/>
      <x:c r="C116" s="43"/>
      <x:c r="D116" s="43" t="str">
        <x:f>IF(C116="","",YEAR(C116))</x:f>
      </x:c>
      <x:c r="E116" s="43" t="str">
        <x:f>IF(C116="","",MONTH(C116))</x:f>
      </x:c>
      <x:c r="F116" s="43" t="str">
        <x:f>IF(C116="","",WEEKNUM(C116,21))</x:f>
      </x:c>
      <x:c r="G116" s="43" t="str">
        <x:f>IF(C116="","",CHOOSE(WEEKDAY(C116,2),"Lundi","Mardi","Mercredi","Jeudi","Vendredi","Samedi","Dimanche"))</x:f>
      </x:c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  <x:c r="AA116" s="43"/>
      <x:c r="AB116" s="43"/>
      <x:c r="AC116" s="43"/>
      <x:c r="AD116" s="43"/>
      <x:c r="AE116" s="43"/>
      <x:c r="AF116" s="43"/>
      <x:c r="AG116" s="67"/>
      <x:c r="AH116" s="43"/>
      <x:c r="AI116" s="43"/>
    </x:row>
    <x:row r="117">
      <x:c r="A117" s="43"/>
      <x:c r="B117" s="43"/>
      <x:c r="C117" s="43"/>
      <x:c r="D117" s="43" t="str">
        <x:f>IF(C117="","",YEAR(C117))</x:f>
      </x:c>
      <x:c r="E117" s="43" t="str">
        <x:f>IF(C117="","",MONTH(C117))</x:f>
      </x:c>
      <x:c r="F117" s="43" t="str">
        <x:f>IF(C117="","",WEEKNUM(C117,21))</x:f>
      </x:c>
      <x:c r="G117" s="43" t="str">
        <x:f>IF(C117="","",CHOOSE(WEEKDAY(C117,2),"Lundi","Mardi","Mercredi","Jeudi","Vendredi","Samedi","Dimanche"))</x:f>
      </x:c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  <x:c r="AA117" s="43"/>
      <x:c r="AB117" s="43"/>
      <x:c r="AC117" s="43"/>
      <x:c r="AD117" s="43"/>
      <x:c r="AE117" s="43"/>
      <x:c r="AF117" s="43"/>
      <x:c r="AG117" s="67"/>
      <x:c r="AH117" s="43"/>
      <x:c r="AI117" s="43"/>
    </x:row>
    <x:row r="118">
      <x:c r="A118" s="43"/>
      <x:c r="B118" s="43"/>
      <x:c r="C118" s="43"/>
      <x:c r="D118" s="43" t="str">
        <x:f>IF(C118="","",YEAR(C118))</x:f>
      </x:c>
      <x:c r="E118" s="43" t="str">
        <x:f>IF(C118="","",MONTH(C118))</x:f>
      </x:c>
      <x:c r="F118" s="43" t="str">
        <x:f>IF(C118="","",WEEKNUM(C118,21))</x:f>
      </x:c>
      <x:c r="G118" s="43" t="str">
        <x:f>IF(C118="","",CHOOSE(WEEKDAY(C118,2),"Lundi","Mardi","Mercredi","Jeudi","Vendredi","Samedi","Dimanche"))</x:f>
      </x:c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  <x:c r="AA118" s="43"/>
      <x:c r="AB118" s="43"/>
      <x:c r="AC118" s="43"/>
      <x:c r="AD118" s="43"/>
      <x:c r="AE118" s="43"/>
      <x:c r="AF118" s="43"/>
      <x:c r="AG118" s="67"/>
      <x:c r="AH118" s="43"/>
      <x:c r="AI118" s="43"/>
    </x:row>
    <x:row r="119">
      <x:c r="A119" s="43"/>
      <x:c r="B119" s="43"/>
      <x:c r="C119" s="43"/>
      <x:c r="D119" s="43" t="str">
        <x:f>IF(C119="","",YEAR(C119))</x:f>
      </x:c>
      <x:c r="E119" s="43" t="str">
        <x:f>IF(C119="","",MONTH(C119))</x:f>
      </x:c>
      <x:c r="F119" s="43" t="str">
        <x:f>IF(C119="","",WEEKNUM(C119,21))</x:f>
      </x:c>
      <x:c r="G119" s="43" t="str">
        <x:f>IF(C119="","",CHOOSE(WEEKDAY(C119,2),"Lundi","Mardi","Mercredi","Jeudi","Vendredi","Samedi","Dimanche"))</x:f>
      </x:c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  <x:c r="AA119" s="43"/>
      <x:c r="AB119" s="43"/>
      <x:c r="AC119" s="43"/>
      <x:c r="AD119" s="43"/>
      <x:c r="AE119" s="43"/>
      <x:c r="AF119" s="43"/>
      <x:c r="AG119" s="67"/>
      <x:c r="AH119" s="43"/>
      <x:c r="AI119" s="43"/>
    </x:row>
    <x:row r="120">
      <x:c r="A120" s="43"/>
      <x:c r="B120" s="43"/>
      <x:c r="C120" s="43"/>
      <x:c r="D120" s="43" t="str">
        <x:f>IF(C120="","",YEAR(C120))</x:f>
      </x:c>
      <x:c r="E120" s="43" t="str">
        <x:f>IF(C120="","",MONTH(C120))</x:f>
      </x:c>
      <x:c r="F120" s="43" t="str">
        <x:f>IF(C120="","",WEEKNUM(C120,21))</x:f>
      </x:c>
      <x:c r="G120" s="43" t="str">
        <x:f>IF(C120="","",CHOOSE(WEEKDAY(C120,2),"Lundi","Mardi","Mercredi","Jeudi","Vendredi","Samedi","Dimanche"))</x:f>
      </x:c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  <x:c r="AA120" s="43"/>
      <x:c r="AB120" s="43"/>
      <x:c r="AC120" s="43"/>
      <x:c r="AD120" s="43"/>
      <x:c r="AE120" s="43"/>
      <x:c r="AF120" s="43"/>
      <x:c r="AG120" s="67"/>
      <x:c r="AH120" s="43"/>
      <x:c r="AI120" s="43"/>
    </x:row>
    <x:row r="121">
      <x:c r="A121" s="43"/>
      <x:c r="B121" s="43"/>
      <x:c r="C121" s="43"/>
      <x:c r="D121" s="43" t="str">
        <x:f>IF(C121="","",YEAR(C121))</x:f>
      </x:c>
      <x:c r="E121" s="43" t="str">
        <x:f>IF(C121="","",MONTH(C121))</x:f>
      </x:c>
      <x:c r="F121" s="43" t="str">
        <x:f>IF(C121="","",WEEKNUM(C121,21))</x:f>
      </x:c>
      <x:c r="G121" s="43" t="str">
        <x:f>IF(C121="","",CHOOSE(WEEKDAY(C121,2),"Lundi","Mardi","Mercredi","Jeudi","Vendredi","Samedi","Dimanche"))</x:f>
      </x:c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  <x:c r="AA121" s="43"/>
      <x:c r="AB121" s="43"/>
      <x:c r="AC121" s="43"/>
      <x:c r="AD121" s="43"/>
      <x:c r="AE121" s="43"/>
      <x:c r="AF121" s="43"/>
      <x:c r="AG121" s="67"/>
      <x:c r="AH121" s="43"/>
      <x:c r="AI121" s="43"/>
    </x:row>
    <x:row r="122">
      <x:c r="A122" s="43"/>
      <x:c r="B122" s="43"/>
      <x:c r="C122" s="43"/>
      <x:c r="D122" s="43" t="str">
        <x:f>IF(C122="","",YEAR(C122))</x:f>
      </x:c>
      <x:c r="E122" s="43" t="str">
        <x:f>IF(C122="","",MONTH(C122))</x:f>
      </x:c>
      <x:c r="F122" s="43" t="str">
        <x:f>IF(C122="","",WEEKNUM(C122,21))</x:f>
      </x:c>
      <x:c r="G122" s="43" t="str">
        <x:f>IF(C122="","",CHOOSE(WEEKDAY(C122,2),"Lundi","Mardi","Mercredi","Jeudi","Vendredi","Samedi","Dimanche"))</x:f>
      </x:c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  <x:c r="AA122" s="43"/>
      <x:c r="AB122" s="43"/>
      <x:c r="AC122" s="43"/>
      <x:c r="AD122" s="43"/>
      <x:c r="AE122" s="43"/>
      <x:c r="AF122" s="43"/>
      <x:c r="AG122" s="67"/>
      <x:c r="AH122" s="43"/>
      <x:c r="AI122" s="43"/>
    </x:row>
    <x:row r="123">
      <x:c r="A123" s="43"/>
      <x:c r="B123" s="43"/>
      <x:c r="C123" s="43"/>
      <x:c r="D123" s="43" t="str">
        <x:f>IF(C123="","",YEAR(C123))</x:f>
      </x:c>
      <x:c r="E123" s="43" t="str">
        <x:f>IF(C123="","",MONTH(C123))</x:f>
      </x:c>
      <x:c r="F123" s="43" t="str">
        <x:f>IF(C123="","",WEEKNUM(C123,21))</x:f>
      </x:c>
      <x:c r="G123" s="43" t="str">
        <x:f>IF(C123="","",CHOOSE(WEEKDAY(C123,2),"Lundi","Mardi","Mercredi","Jeudi","Vendredi","Samedi","Dimanche"))</x:f>
      </x:c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  <x:c r="AA123" s="43"/>
      <x:c r="AB123" s="43"/>
      <x:c r="AC123" s="43"/>
      <x:c r="AD123" s="43"/>
      <x:c r="AE123" s="43"/>
      <x:c r="AF123" s="43"/>
      <x:c r="AG123" s="67"/>
      <x:c r="AH123" s="43"/>
      <x:c r="AI123" s="43"/>
    </x:row>
    <x:row r="124">
      <x:c r="A124" s="43"/>
      <x:c r="B124" s="43"/>
      <x:c r="C124" s="43"/>
      <x:c r="D124" s="43" t="str">
        <x:f>IF(C124="","",YEAR(C124))</x:f>
      </x:c>
      <x:c r="E124" s="43" t="str">
        <x:f>IF(C124="","",MONTH(C124))</x:f>
      </x:c>
      <x:c r="F124" s="43" t="str">
        <x:f>IF(C124="","",WEEKNUM(C124,21))</x:f>
      </x:c>
      <x:c r="G124" s="43" t="str">
        <x:f>IF(C124="","",CHOOSE(WEEKDAY(C124,2),"Lundi","Mardi","Mercredi","Jeudi","Vendredi","Samedi","Dimanche"))</x:f>
      </x:c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  <x:c r="AA124" s="43"/>
      <x:c r="AB124" s="43"/>
      <x:c r="AC124" s="43"/>
      <x:c r="AD124" s="43"/>
      <x:c r="AE124" s="43"/>
      <x:c r="AF124" s="43"/>
      <x:c r="AG124" s="67"/>
      <x:c r="AH124" s="43"/>
      <x:c r="AI124" s="43"/>
    </x:row>
    <x:row r="125">
      <x:c r="A125" s="43"/>
      <x:c r="B125" s="43"/>
      <x:c r="C125" s="43"/>
      <x:c r="D125" s="43" t="str">
        <x:f>IF(C125="","",YEAR(C125))</x:f>
      </x:c>
      <x:c r="E125" s="43" t="str">
        <x:f>IF(C125="","",MONTH(C125))</x:f>
      </x:c>
      <x:c r="F125" s="43" t="str">
        <x:f>IF(C125="","",WEEKNUM(C125,21))</x:f>
      </x:c>
      <x:c r="G125" s="43" t="str">
        <x:f>IF(C125="","",CHOOSE(WEEKDAY(C125,2),"Lundi","Mardi","Mercredi","Jeudi","Vendredi","Samedi","Dimanche"))</x:f>
      </x:c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  <x:c r="AA125" s="43"/>
      <x:c r="AB125" s="43"/>
      <x:c r="AC125" s="43"/>
      <x:c r="AD125" s="43"/>
      <x:c r="AE125" s="43"/>
      <x:c r="AF125" s="43"/>
      <x:c r="AG125" s="67"/>
      <x:c r="AH125" s="43"/>
      <x:c r="AI125" s="43"/>
    </x:row>
    <x:row r="126">
      <x:c r="A126" s="43"/>
      <x:c r="B126" s="43"/>
      <x:c r="C126" s="43"/>
      <x:c r="D126" s="43" t="str">
        <x:f>IF(C126="","",YEAR(C126))</x:f>
      </x:c>
      <x:c r="E126" s="43" t="str">
        <x:f>IF(C126="","",MONTH(C126))</x:f>
      </x:c>
      <x:c r="F126" s="43" t="str">
        <x:f>IF(C126="","",WEEKNUM(C126,21))</x:f>
      </x:c>
      <x:c r="G126" s="43" t="str">
        <x:f>IF(C126="","",CHOOSE(WEEKDAY(C126,2),"Lundi","Mardi","Mercredi","Jeudi","Vendredi","Samedi","Dimanche"))</x:f>
      </x:c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  <x:c r="AA126" s="43"/>
      <x:c r="AB126" s="43"/>
      <x:c r="AC126" s="43"/>
      <x:c r="AD126" s="43"/>
      <x:c r="AE126" s="43"/>
      <x:c r="AF126" s="43"/>
      <x:c r="AG126" s="67"/>
      <x:c r="AH126" s="43"/>
      <x:c r="AI126" s="43"/>
    </x:row>
    <x:row r="127">
      <x:c r="A127" s="43"/>
      <x:c r="B127" s="43"/>
      <x:c r="C127" s="43"/>
      <x:c r="D127" s="43" t="str">
        <x:f>IF(C127="","",YEAR(C127))</x:f>
      </x:c>
      <x:c r="E127" s="43" t="str">
        <x:f>IF(C127="","",MONTH(C127))</x:f>
      </x:c>
      <x:c r="F127" s="43" t="str">
        <x:f>IF(C127="","",WEEKNUM(C127,21))</x:f>
      </x:c>
      <x:c r="G127" s="43" t="str">
        <x:f>IF(C127="","",CHOOSE(WEEKDAY(C127,2),"Lundi","Mardi","Mercredi","Jeudi","Vendredi","Samedi","Dimanche"))</x:f>
      </x:c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  <x:c r="AA127" s="43"/>
      <x:c r="AB127" s="43"/>
      <x:c r="AC127" s="43"/>
      <x:c r="AD127" s="43"/>
      <x:c r="AE127" s="43"/>
      <x:c r="AF127" s="43"/>
      <x:c r="AG127" s="67"/>
      <x:c r="AH127" s="43"/>
      <x:c r="AI127" s="43"/>
    </x:row>
    <x:row r="128">
      <x:c r="A128" s="43"/>
      <x:c r="B128" s="43"/>
      <x:c r="C128" s="43"/>
      <x:c r="D128" s="43" t="str">
        <x:f>IF(C128="","",YEAR(C128))</x:f>
      </x:c>
      <x:c r="E128" s="43" t="str">
        <x:f>IF(C128="","",MONTH(C128))</x:f>
      </x:c>
      <x:c r="F128" s="43" t="str">
        <x:f>IF(C128="","",WEEKNUM(C128,21))</x:f>
      </x:c>
      <x:c r="G128" s="43" t="str">
        <x:f>IF(C128="","",CHOOSE(WEEKDAY(C128,2),"Lundi","Mardi","Mercredi","Jeudi","Vendredi","Samedi","Dimanche"))</x:f>
      </x:c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  <x:c r="AA128" s="43"/>
      <x:c r="AB128" s="43"/>
      <x:c r="AC128" s="43"/>
      <x:c r="AD128" s="43"/>
      <x:c r="AE128" s="43"/>
      <x:c r="AF128" s="43"/>
      <x:c r="AG128" s="67"/>
      <x:c r="AH128" s="43"/>
      <x:c r="AI128" s="43"/>
    </x:row>
    <x:row r="129">
      <x:c r="A129" s="43"/>
      <x:c r="B129" s="43"/>
      <x:c r="C129" s="43"/>
      <x:c r="D129" s="43" t="str">
        <x:f>IF(C129="","",YEAR(C129))</x:f>
      </x:c>
      <x:c r="E129" s="43" t="str">
        <x:f>IF(C129="","",MONTH(C129))</x:f>
      </x:c>
      <x:c r="F129" s="43" t="str">
        <x:f>IF(C129="","",WEEKNUM(C129,21))</x:f>
      </x:c>
      <x:c r="G129" s="43" t="str">
        <x:f>IF(C129="","",CHOOSE(WEEKDAY(C129,2),"Lundi","Mardi","Mercredi","Jeudi","Vendredi","Samedi","Dimanche"))</x:f>
      </x:c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  <x:c r="AA129" s="43"/>
      <x:c r="AB129" s="43"/>
      <x:c r="AC129" s="43"/>
      <x:c r="AD129" s="43"/>
      <x:c r="AE129" s="43"/>
      <x:c r="AF129" s="43"/>
      <x:c r="AG129" s="67"/>
      <x:c r="AH129" s="43"/>
      <x:c r="AI129" s="43"/>
    </x:row>
    <x:row r="130">
      <x:c r="A130" s="43"/>
      <x:c r="B130" s="43"/>
      <x:c r="C130" s="43"/>
      <x:c r="D130" s="43" t="str">
        <x:f>IF(C130="","",YEAR(C130))</x:f>
      </x:c>
      <x:c r="E130" s="43" t="str">
        <x:f>IF(C130="","",MONTH(C130))</x:f>
      </x:c>
      <x:c r="F130" s="43" t="str">
        <x:f>IF(C130="","",WEEKNUM(C130,21))</x:f>
      </x:c>
      <x:c r="G130" s="43" t="str">
        <x:f>IF(C130="","",CHOOSE(WEEKDAY(C130,2),"Lundi","Mardi","Mercredi","Jeudi","Vendredi","Samedi","Dimanche"))</x:f>
      </x:c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  <x:c r="AA130" s="43"/>
      <x:c r="AB130" s="43"/>
      <x:c r="AC130" s="43"/>
      <x:c r="AD130" s="43"/>
      <x:c r="AE130" s="43"/>
      <x:c r="AF130" s="43"/>
      <x:c r="AG130" s="67"/>
      <x:c r="AH130" s="43"/>
      <x:c r="AI130" s="43"/>
    </x:row>
    <x:row r="131">
      <x:c r="A131" s="43"/>
      <x:c r="B131" s="43"/>
      <x:c r="C131" s="43"/>
      <x:c r="D131" s="43" t="str">
        <x:f>IF(C131="","",YEAR(C131))</x:f>
      </x:c>
      <x:c r="E131" s="43" t="str">
        <x:f>IF(C131="","",MONTH(C131))</x:f>
      </x:c>
      <x:c r="F131" s="43" t="str">
        <x:f>IF(C131="","",WEEKNUM(C131,21))</x:f>
      </x:c>
      <x:c r="G131" s="43" t="str">
        <x:f>IF(C131="","",CHOOSE(WEEKDAY(C131,2),"Lundi","Mardi","Mercredi","Jeudi","Vendredi","Samedi","Dimanche"))</x:f>
      </x:c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  <x:c r="AA131" s="43"/>
      <x:c r="AB131" s="43"/>
      <x:c r="AC131" s="43"/>
      <x:c r="AD131" s="43"/>
      <x:c r="AE131" s="43"/>
      <x:c r="AF131" s="43"/>
      <x:c r="AG131" s="67"/>
      <x:c r="AH131" s="43"/>
      <x:c r="AI131" s="43"/>
    </x:row>
    <x:row r="132">
      <x:c r="A132" s="43"/>
      <x:c r="B132" s="43"/>
      <x:c r="C132" s="43"/>
      <x:c r="D132" s="43" t="str">
        <x:f>IF(C132="","",YEAR(C132))</x:f>
      </x:c>
      <x:c r="E132" s="43" t="str">
        <x:f>IF(C132="","",MONTH(C132))</x:f>
      </x:c>
      <x:c r="F132" s="43" t="str">
        <x:f>IF(C132="","",WEEKNUM(C132,21))</x:f>
      </x:c>
      <x:c r="G132" s="43" t="str">
        <x:f>IF(C132="","",CHOOSE(WEEKDAY(C132,2),"Lundi","Mardi","Mercredi","Jeudi","Vendredi","Samedi","Dimanche"))</x:f>
      </x:c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  <x:c r="AA132" s="43"/>
      <x:c r="AB132" s="43"/>
      <x:c r="AC132" s="43"/>
      <x:c r="AD132" s="43"/>
      <x:c r="AE132" s="43"/>
      <x:c r="AF132" s="43"/>
      <x:c r="AG132" s="67"/>
      <x:c r="AH132" s="43"/>
      <x:c r="AI132" s="43"/>
    </x:row>
    <x:row r="133">
      <x:c r="A133" s="43"/>
      <x:c r="B133" s="43"/>
      <x:c r="C133" s="43"/>
      <x:c r="D133" s="43" t="str">
        <x:f>IF(C133="","",YEAR(C133))</x:f>
      </x:c>
      <x:c r="E133" s="43" t="str">
        <x:f>IF(C133="","",MONTH(C133))</x:f>
      </x:c>
      <x:c r="F133" s="43" t="str">
        <x:f>IF(C133="","",WEEKNUM(C133,21))</x:f>
      </x:c>
      <x:c r="G133" s="43" t="str">
        <x:f>IF(C133="","",CHOOSE(WEEKDAY(C133,2),"Lundi","Mardi","Mercredi","Jeudi","Vendredi","Samedi","Dimanche"))</x:f>
      </x:c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  <x:c r="AA133" s="43"/>
      <x:c r="AB133" s="43"/>
      <x:c r="AC133" s="43"/>
      <x:c r="AD133" s="43"/>
      <x:c r="AE133" s="43"/>
      <x:c r="AF133" s="43"/>
      <x:c r="AG133" s="67"/>
      <x:c r="AH133" s="43"/>
      <x:c r="AI133" s="43"/>
    </x:row>
    <x:row r="134">
      <x:c r="A134" s="43"/>
      <x:c r="B134" s="43"/>
      <x:c r="C134" s="43"/>
      <x:c r="D134" s="43" t="str">
        <x:f>IF(C134="","",YEAR(C134))</x:f>
      </x:c>
      <x:c r="E134" s="43" t="str">
        <x:f>IF(C134="","",MONTH(C134))</x:f>
      </x:c>
      <x:c r="F134" s="43" t="str">
        <x:f>IF(C134="","",WEEKNUM(C134,21))</x:f>
      </x:c>
      <x:c r="G134" s="43" t="str">
        <x:f>IF(C134="","",CHOOSE(WEEKDAY(C134,2),"Lundi","Mardi","Mercredi","Jeudi","Vendredi","Samedi","Dimanche"))</x:f>
      </x:c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  <x:c r="AA134" s="43"/>
      <x:c r="AB134" s="43"/>
      <x:c r="AC134" s="43"/>
      <x:c r="AD134" s="43"/>
      <x:c r="AE134" s="43"/>
      <x:c r="AF134" s="43"/>
      <x:c r="AG134" s="67"/>
      <x:c r="AH134" s="43"/>
      <x:c r="AI134" s="43"/>
    </x:row>
    <x:row r="135">
      <x:c r="A135" s="43"/>
      <x:c r="B135" s="43"/>
      <x:c r="C135" s="43"/>
      <x:c r="D135" s="43" t="str">
        <x:f>IF(C135="","",YEAR(C135))</x:f>
      </x:c>
      <x:c r="E135" s="43" t="str">
        <x:f>IF(C135="","",MONTH(C135))</x:f>
      </x:c>
      <x:c r="F135" s="43" t="str">
        <x:f>IF(C135="","",WEEKNUM(C135,21))</x:f>
      </x:c>
      <x:c r="G135" s="43" t="str">
        <x:f>IF(C135="","",CHOOSE(WEEKDAY(C135,2),"Lundi","Mardi","Mercredi","Jeudi","Vendredi","Samedi","Dimanche"))</x:f>
      </x:c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  <x:c r="AA135" s="43"/>
      <x:c r="AB135" s="43"/>
      <x:c r="AC135" s="43"/>
      <x:c r="AD135" s="43"/>
      <x:c r="AE135" s="43"/>
      <x:c r="AF135" s="43"/>
      <x:c r="AG135" s="67"/>
      <x:c r="AH135" s="43"/>
      <x:c r="AI135" s="43"/>
    </x:row>
    <x:row r="136">
      <x:c r="A136" s="43"/>
      <x:c r="B136" s="43"/>
      <x:c r="C136" s="43"/>
      <x:c r="D136" s="43" t="str">
        <x:f>IF(C136="","",YEAR(C136))</x:f>
      </x:c>
      <x:c r="E136" s="43" t="str">
        <x:f>IF(C136="","",MONTH(C136))</x:f>
      </x:c>
      <x:c r="F136" s="43" t="str">
        <x:f>IF(C136="","",WEEKNUM(C136,21))</x:f>
      </x:c>
      <x:c r="G136" s="43" t="str">
        <x:f>IF(C136="","",CHOOSE(WEEKDAY(C136,2),"Lundi","Mardi","Mercredi","Jeudi","Vendredi","Samedi","Dimanche"))</x:f>
      </x:c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  <x:c r="AA136" s="43"/>
      <x:c r="AB136" s="43"/>
      <x:c r="AC136" s="43"/>
      <x:c r="AD136" s="43"/>
      <x:c r="AE136" s="43"/>
      <x:c r="AF136" s="43"/>
      <x:c r="AG136" s="67"/>
      <x:c r="AH136" s="43"/>
      <x:c r="AI136" s="43"/>
    </x:row>
    <x:row r="137">
      <x:c r="A137" s="43"/>
      <x:c r="B137" s="43"/>
      <x:c r="C137" s="43"/>
      <x:c r="D137" s="43" t="str">
        <x:f>IF(C137="","",YEAR(C137))</x:f>
      </x:c>
      <x:c r="E137" s="43" t="str">
        <x:f>IF(C137="","",MONTH(C137))</x:f>
      </x:c>
      <x:c r="F137" s="43" t="str">
        <x:f>IF(C137="","",WEEKNUM(C137,21))</x:f>
      </x:c>
      <x:c r="G137" s="43" t="str">
        <x:f>IF(C137="","",CHOOSE(WEEKDAY(C137,2),"Lundi","Mardi","Mercredi","Jeudi","Vendredi","Samedi","Dimanche"))</x:f>
      </x:c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  <x:c r="AA137" s="43"/>
      <x:c r="AB137" s="43"/>
      <x:c r="AC137" s="43"/>
      <x:c r="AD137" s="43"/>
      <x:c r="AE137" s="43"/>
      <x:c r="AF137" s="43"/>
      <x:c r="AG137" s="67"/>
      <x:c r="AH137" s="43"/>
      <x:c r="AI137" s="43"/>
    </x:row>
    <x:row r="138">
      <x:c r="A138" s="43"/>
      <x:c r="B138" s="43"/>
      <x:c r="C138" s="43"/>
      <x:c r="D138" s="43" t="str">
        <x:f>IF(C138="","",YEAR(C138))</x:f>
      </x:c>
      <x:c r="E138" s="43" t="str">
        <x:f>IF(C138="","",MONTH(C138))</x:f>
      </x:c>
      <x:c r="F138" s="43" t="str">
        <x:f>IF(C138="","",WEEKNUM(C138,21))</x:f>
      </x:c>
      <x:c r="G138" s="43" t="str">
        <x:f>IF(C138="","",CHOOSE(WEEKDAY(C138,2),"Lundi","Mardi","Mercredi","Jeudi","Vendredi","Samedi","Dimanche"))</x:f>
      </x:c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  <x:c r="AA138" s="43"/>
      <x:c r="AB138" s="43"/>
      <x:c r="AC138" s="43"/>
      <x:c r="AD138" s="43"/>
      <x:c r="AE138" s="43"/>
      <x:c r="AF138" s="43"/>
      <x:c r="AG138" s="67"/>
      <x:c r="AH138" s="43"/>
      <x:c r="AI138" s="43"/>
    </x:row>
    <x:row r="139">
      <x:c r="A139" s="43"/>
      <x:c r="B139" s="43"/>
      <x:c r="C139" s="43"/>
      <x:c r="D139" s="43" t="str">
        <x:f>IF(C139="","",YEAR(C139))</x:f>
      </x:c>
      <x:c r="E139" s="43" t="str">
        <x:f>IF(C139="","",MONTH(C139))</x:f>
      </x:c>
      <x:c r="F139" s="43" t="str">
        <x:f>IF(C139="","",WEEKNUM(C139,21))</x:f>
      </x:c>
      <x:c r="G139" s="43" t="str">
        <x:f>IF(C139="","",CHOOSE(WEEKDAY(C139,2),"Lundi","Mardi","Mercredi","Jeudi","Vendredi","Samedi","Dimanche"))</x:f>
      </x:c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  <x:c r="AA139" s="43"/>
      <x:c r="AB139" s="43"/>
      <x:c r="AC139" s="43"/>
      <x:c r="AD139" s="43"/>
      <x:c r="AE139" s="43"/>
      <x:c r="AF139" s="43"/>
      <x:c r="AG139" s="67"/>
      <x:c r="AH139" s="43"/>
      <x:c r="AI139" s="43"/>
    </x:row>
    <x:row r="140">
      <x:c r="A140" s="43"/>
      <x:c r="B140" s="43"/>
      <x:c r="C140" s="43"/>
      <x:c r="D140" s="43" t="str">
        <x:f>IF(C140="","",YEAR(C140))</x:f>
      </x:c>
      <x:c r="E140" s="43" t="str">
        <x:f>IF(C140="","",MONTH(C140))</x:f>
      </x:c>
      <x:c r="F140" s="43" t="str">
        <x:f>IF(C140="","",WEEKNUM(C140,21))</x:f>
      </x:c>
      <x:c r="G140" s="43" t="str">
        <x:f>IF(C140="","",CHOOSE(WEEKDAY(C140,2),"Lundi","Mardi","Mercredi","Jeudi","Vendredi","Samedi","Dimanche"))</x:f>
      </x:c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  <x:c r="AA140" s="43"/>
      <x:c r="AB140" s="43"/>
      <x:c r="AC140" s="43"/>
      <x:c r="AD140" s="43"/>
      <x:c r="AE140" s="43"/>
      <x:c r="AF140" s="43"/>
      <x:c r="AG140" s="67"/>
      <x:c r="AH140" s="43"/>
      <x:c r="AI140" s="43"/>
    </x:row>
    <x:row r="141">
      <x:c r="A141" s="43"/>
      <x:c r="B141" s="43"/>
      <x:c r="C141" s="43"/>
      <x:c r="D141" s="43" t="str">
        <x:f>IF(C141="","",YEAR(C141))</x:f>
      </x:c>
      <x:c r="E141" s="43" t="str">
        <x:f>IF(C141="","",MONTH(C141))</x:f>
      </x:c>
      <x:c r="F141" s="43" t="str">
        <x:f>IF(C141="","",WEEKNUM(C141,21))</x:f>
      </x:c>
      <x:c r="G141" s="43" t="str">
        <x:f>IF(C141="","",CHOOSE(WEEKDAY(C141,2),"Lundi","Mardi","Mercredi","Jeudi","Vendredi","Samedi","Dimanche"))</x:f>
      </x:c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  <x:c r="AA141" s="43"/>
      <x:c r="AB141" s="43"/>
      <x:c r="AC141" s="43"/>
      <x:c r="AD141" s="43"/>
      <x:c r="AE141" s="43"/>
      <x:c r="AF141" s="43"/>
      <x:c r="AG141" s="67"/>
      <x:c r="AH141" s="43"/>
      <x:c r="AI141" s="43"/>
    </x:row>
    <x:row r="142">
      <x:c r="A142" s="43"/>
      <x:c r="B142" s="43"/>
      <x:c r="C142" s="43"/>
      <x:c r="D142" s="43" t="str">
        <x:f>IF(C142="","",YEAR(C142))</x:f>
      </x:c>
      <x:c r="E142" s="43" t="str">
        <x:f>IF(C142="","",MONTH(C142))</x:f>
      </x:c>
      <x:c r="F142" s="43" t="str">
        <x:f>IF(C142="","",WEEKNUM(C142,21))</x:f>
      </x:c>
      <x:c r="G142" s="43" t="str">
        <x:f>IF(C142="","",CHOOSE(WEEKDAY(C142,2),"Lundi","Mardi","Mercredi","Jeudi","Vendredi","Samedi","Dimanche"))</x:f>
      </x:c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  <x:c r="AA142" s="43"/>
      <x:c r="AB142" s="43"/>
      <x:c r="AC142" s="43"/>
      <x:c r="AD142" s="43"/>
      <x:c r="AE142" s="43"/>
      <x:c r="AF142" s="43"/>
      <x:c r="AG142" s="67"/>
      <x:c r="AH142" s="43"/>
      <x:c r="AI142" s="43"/>
    </x:row>
    <x:row r="143">
      <x:c r="A143" s="43"/>
      <x:c r="B143" s="43"/>
      <x:c r="C143" s="43"/>
      <x:c r="D143" s="43" t="str">
        <x:f>IF(C143="","",YEAR(C143))</x:f>
      </x:c>
      <x:c r="E143" s="43" t="str">
        <x:f>IF(C143="","",MONTH(C143))</x:f>
      </x:c>
      <x:c r="F143" s="43" t="str">
        <x:f>IF(C143="","",WEEKNUM(C143,21))</x:f>
      </x:c>
      <x:c r="G143" s="43" t="str">
        <x:f>IF(C143="","",CHOOSE(WEEKDAY(C143,2),"Lundi","Mardi","Mercredi","Jeudi","Vendredi","Samedi","Dimanche"))</x:f>
      </x:c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  <x:c r="AA143" s="43"/>
      <x:c r="AB143" s="43"/>
      <x:c r="AC143" s="43"/>
      <x:c r="AD143" s="43"/>
      <x:c r="AE143" s="43"/>
      <x:c r="AF143" s="43"/>
      <x:c r="AG143" s="67"/>
      <x:c r="AH143" s="43"/>
      <x:c r="AI143" s="43"/>
    </x:row>
    <x:row r="144">
      <x:c r="A144" s="43"/>
      <x:c r="B144" s="43"/>
      <x:c r="C144" s="43"/>
      <x:c r="D144" s="43" t="str">
        <x:f>IF(C144="","",YEAR(C144))</x:f>
      </x:c>
      <x:c r="E144" s="43" t="str">
        <x:f>IF(C144="","",MONTH(C144))</x:f>
      </x:c>
      <x:c r="F144" s="43" t="str">
        <x:f>IF(C144="","",WEEKNUM(C144,21))</x:f>
      </x:c>
      <x:c r="G144" s="43" t="str">
        <x:f>IF(C144="","",CHOOSE(WEEKDAY(C144,2),"Lundi","Mardi","Mercredi","Jeudi","Vendredi","Samedi","Dimanche"))</x:f>
      </x:c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  <x:c r="AA144" s="43"/>
      <x:c r="AB144" s="43"/>
      <x:c r="AC144" s="43"/>
      <x:c r="AD144" s="43"/>
      <x:c r="AE144" s="43"/>
      <x:c r="AF144" s="43"/>
      <x:c r="AG144" s="67"/>
      <x:c r="AH144" s="43"/>
      <x:c r="AI144" s="43"/>
    </x:row>
    <x:row r="145">
      <x:c r="A145" s="43"/>
      <x:c r="B145" s="43"/>
      <x:c r="C145" s="43"/>
      <x:c r="D145" s="43" t="str">
        <x:f>IF(C145="","",YEAR(C145))</x:f>
      </x:c>
      <x:c r="E145" s="43" t="str">
        <x:f>IF(C145="","",MONTH(C145))</x:f>
      </x:c>
      <x:c r="F145" s="43" t="str">
        <x:f>IF(C145="","",WEEKNUM(C145,21))</x:f>
      </x:c>
      <x:c r="G145" s="43" t="str">
        <x:f>IF(C145="","",CHOOSE(WEEKDAY(C145,2),"Lundi","Mardi","Mercredi","Jeudi","Vendredi","Samedi","Dimanche"))</x:f>
      </x:c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  <x:c r="AA145" s="43"/>
      <x:c r="AB145" s="43"/>
      <x:c r="AC145" s="43"/>
      <x:c r="AD145" s="43"/>
      <x:c r="AE145" s="43"/>
      <x:c r="AF145" s="43"/>
      <x:c r="AG145" s="67"/>
      <x:c r="AH145" s="43"/>
      <x:c r="AI145" s="43"/>
    </x:row>
    <x:row r="146">
      <x:c r="A146" s="43"/>
      <x:c r="B146" s="43"/>
      <x:c r="C146" s="43"/>
      <x:c r="D146" s="43" t="str">
        <x:f>IF(C146="","",YEAR(C146))</x:f>
      </x:c>
      <x:c r="E146" s="43" t="str">
        <x:f>IF(C146="","",MONTH(C146))</x:f>
      </x:c>
      <x:c r="F146" s="43" t="str">
        <x:f>IF(C146="","",WEEKNUM(C146,21))</x:f>
      </x:c>
      <x:c r="G146" s="43" t="str">
        <x:f>IF(C146="","",CHOOSE(WEEKDAY(C146,2),"Lundi","Mardi","Mercredi","Jeudi","Vendredi","Samedi","Dimanche"))</x:f>
      </x:c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  <x:c r="AA146" s="43"/>
      <x:c r="AB146" s="43"/>
      <x:c r="AC146" s="43"/>
      <x:c r="AD146" s="43"/>
      <x:c r="AE146" s="43"/>
      <x:c r="AF146" s="43"/>
      <x:c r="AG146" s="67"/>
      <x:c r="AH146" s="43"/>
      <x:c r="AI146" s="43"/>
    </x:row>
    <x:row r="147">
      <x:c r="A147" s="43"/>
      <x:c r="B147" s="43"/>
      <x:c r="C147" s="43"/>
      <x:c r="D147" s="43" t="str">
        <x:f>IF(C147="","",YEAR(C147))</x:f>
      </x:c>
      <x:c r="E147" s="43" t="str">
        <x:f>IF(C147="","",MONTH(C147))</x:f>
      </x:c>
      <x:c r="F147" s="43" t="str">
        <x:f>IF(C147="","",WEEKNUM(C147,21))</x:f>
      </x:c>
      <x:c r="G147" s="43" t="str">
        <x:f>IF(C147="","",CHOOSE(WEEKDAY(C147,2),"Lundi","Mardi","Mercredi","Jeudi","Vendredi","Samedi","Dimanche"))</x:f>
      </x:c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  <x:c r="AA147" s="43"/>
      <x:c r="AB147" s="43"/>
      <x:c r="AC147" s="43"/>
      <x:c r="AD147" s="43"/>
      <x:c r="AE147" s="43"/>
      <x:c r="AF147" s="43"/>
      <x:c r="AG147" s="67"/>
      <x:c r="AH147" s="43"/>
      <x:c r="AI147" s="43"/>
    </x:row>
    <x:row r="148">
      <x:c r="A148" s="43"/>
      <x:c r="B148" s="43"/>
      <x:c r="C148" s="43"/>
      <x:c r="D148" s="43" t="str">
        <x:f>IF(C148="","",YEAR(C148))</x:f>
      </x:c>
      <x:c r="E148" s="43" t="str">
        <x:f>IF(C148="","",MONTH(C148))</x:f>
      </x:c>
      <x:c r="F148" s="43" t="str">
        <x:f>IF(C148="","",WEEKNUM(C148,21))</x:f>
      </x:c>
      <x:c r="G148" s="43" t="str">
        <x:f>IF(C148="","",CHOOSE(WEEKDAY(C148,2),"Lundi","Mardi","Mercredi","Jeudi","Vendredi","Samedi","Dimanche"))</x:f>
      </x:c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  <x:c r="AA148" s="43"/>
      <x:c r="AB148" s="43"/>
      <x:c r="AC148" s="43"/>
      <x:c r="AD148" s="43"/>
      <x:c r="AE148" s="43"/>
      <x:c r="AF148" s="43"/>
      <x:c r="AG148" s="67"/>
      <x:c r="AH148" s="43"/>
      <x:c r="AI148" s="43"/>
    </x:row>
    <x:row r="149">
      <x:c r="A149" s="43"/>
      <x:c r="B149" s="43"/>
      <x:c r="C149" s="43"/>
      <x:c r="D149" s="43" t="str">
        <x:f>IF(C149="","",YEAR(C149))</x:f>
      </x:c>
      <x:c r="E149" s="43" t="str">
        <x:f>IF(C149="","",MONTH(C149))</x:f>
      </x:c>
      <x:c r="F149" s="43" t="str">
        <x:f>IF(C149="","",WEEKNUM(C149,21))</x:f>
      </x:c>
      <x:c r="G149" s="43" t="str">
        <x:f>IF(C149="","",CHOOSE(WEEKDAY(C149,2),"Lundi","Mardi","Mercredi","Jeudi","Vendredi","Samedi","Dimanche"))</x:f>
      </x:c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  <x:c r="AA149" s="43"/>
      <x:c r="AB149" s="43"/>
      <x:c r="AC149" s="43"/>
      <x:c r="AD149" s="43"/>
      <x:c r="AE149" s="43"/>
      <x:c r="AF149" s="43"/>
      <x:c r="AG149" s="67"/>
      <x:c r="AH149" s="43"/>
      <x:c r="AI149" s="43"/>
    </x:row>
    <x:row r="150">
      <x:c r="A150" s="43"/>
      <x:c r="B150" s="43"/>
      <x:c r="C150" s="43"/>
      <x:c r="D150" s="43" t="str">
        <x:f>IF(C150="","",YEAR(C150))</x:f>
      </x:c>
      <x:c r="E150" s="43" t="str">
        <x:f>IF(C150="","",MONTH(C150))</x:f>
      </x:c>
      <x:c r="F150" s="43" t="str">
        <x:f>IF(C150="","",WEEKNUM(C150,21))</x:f>
      </x:c>
      <x:c r="G150" s="43" t="str">
        <x:f>IF(C150="","",CHOOSE(WEEKDAY(C150,2),"Lundi","Mardi","Mercredi","Jeudi","Vendredi","Samedi","Dimanche"))</x:f>
      </x:c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  <x:c r="AA150" s="43"/>
      <x:c r="AB150" s="43"/>
      <x:c r="AC150" s="43"/>
      <x:c r="AD150" s="43"/>
      <x:c r="AE150" s="43"/>
      <x:c r="AF150" s="43"/>
      <x:c r="AG150" s="67"/>
      <x:c r="AH150" s="43"/>
      <x:c r="AI150" s="43"/>
    </x:row>
    <x:row r="151">
      <x:c r="A151" s="43"/>
      <x:c r="B151" s="43"/>
      <x:c r="C151" s="43"/>
      <x:c r="D151" s="43" t="str">
        <x:f>IF(C151="","",YEAR(C151))</x:f>
      </x:c>
      <x:c r="E151" s="43" t="str">
        <x:f>IF(C151="","",MONTH(C151))</x:f>
      </x:c>
      <x:c r="F151" s="43" t="str">
        <x:f>IF(C151="","",WEEKNUM(C151,21))</x:f>
      </x:c>
      <x:c r="G151" s="43" t="str">
        <x:f>IF(C151="","",CHOOSE(WEEKDAY(C151,2),"Lundi","Mardi","Mercredi","Jeudi","Vendredi","Samedi","Dimanche"))</x:f>
      </x:c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  <x:c r="AA151" s="43"/>
      <x:c r="AB151" s="43"/>
      <x:c r="AC151" s="43"/>
      <x:c r="AD151" s="43"/>
      <x:c r="AE151" s="43"/>
      <x:c r="AF151" s="43"/>
      <x:c r="AG151" s="67"/>
      <x:c r="AH151" s="43"/>
      <x:c r="AI151" s="43"/>
    </x:row>
    <x:row r="152">
      <x:c r="A152" s="43"/>
      <x:c r="B152" s="43"/>
      <x:c r="C152" s="43"/>
      <x:c r="D152" s="43" t="str">
        <x:f>IF(C152="","",YEAR(C152))</x:f>
      </x:c>
      <x:c r="E152" s="43" t="str">
        <x:f>IF(C152="","",MONTH(C152))</x:f>
      </x:c>
      <x:c r="F152" s="43" t="str">
        <x:f>IF(C152="","",WEEKNUM(C152,21))</x:f>
      </x:c>
      <x:c r="G152" s="43" t="str">
        <x:f>IF(C152="","",CHOOSE(WEEKDAY(C152,2),"Lundi","Mardi","Mercredi","Jeudi","Vendredi","Samedi","Dimanche"))</x:f>
      </x:c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  <x:c r="AA152" s="43"/>
      <x:c r="AB152" s="43"/>
      <x:c r="AC152" s="43"/>
      <x:c r="AD152" s="43"/>
      <x:c r="AE152" s="43"/>
      <x:c r="AF152" s="43"/>
      <x:c r="AG152" s="67"/>
      <x:c r="AH152" s="43"/>
      <x:c r="AI152" s="43"/>
    </x:row>
    <x:row r="153">
      <x:c r="A153" s="43"/>
      <x:c r="B153" s="43"/>
      <x:c r="C153" s="43"/>
      <x:c r="D153" s="43" t="str">
        <x:f>IF(C153="","",YEAR(C153))</x:f>
      </x:c>
      <x:c r="E153" s="43" t="str">
        <x:f>IF(C153="","",MONTH(C153))</x:f>
      </x:c>
      <x:c r="F153" s="43" t="str">
        <x:f>IF(C153="","",WEEKNUM(C153,21))</x:f>
      </x:c>
      <x:c r="G153" s="43" t="str">
        <x:f>IF(C153="","",CHOOSE(WEEKDAY(C153,2),"Lundi","Mardi","Mercredi","Jeudi","Vendredi","Samedi","Dimanche"))</x:f>
      </x:c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  <x:c r="AA153" s="43"/>
      <x:c r="AB153" s="43"/>
      <x:c r="AC153" s="43"/>
      <x:c r="AD153" s="43"/>
      <x:c r="AE153" s="43"/>
      <x:c r="AF153" s="43"/>
      <x:c r="AG153" s="67"/>
      <x:c r="AH153" s="43"/>
      <x:c r="AI153" s="43"/>
    </x:row>
    <x:row r="154">
      <x:c r="A154" s="43"/>
      <x:c r="B154" s="43"/>
      <x:c r="C154" s="43"/>
      <x:c r="D154" s="43" t="str">
        <x:f>IF(C154="","",YEAR(C154))</x:f>
      </x:c>
      <x:c r="E154" s="43" t="str">
        <x:f>IF(C154="","",MONTH(C154))</x:f>
      </x:c>
      <x:c r="F154" s="43" t="str">
        <x:f>IF(C154="","",WEEKNUM(C154,21))</x:f>
      </x:c>
      <x:c r="G154" s="43" t="str">
        <x:f>IF(C154="","",CHOOSE(WEEKDAY(C154,2),"Lundi","Mardi","Mercredi","Jeudi","Vendredi","Samedi","Dimanche"))</x:f>
      </x:c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  <x:c r="AA154" s="43"/>
      <x:c r="AB154" s="43"/>
      <x:c r="AC154" s="43"/>
      <x:c r="AD154" s="43"/>
      <x:c r="AE154" s="43"/>
      <x:c r="AF154" s="43"/>
      <x:c r="AG154" s="67"/>
      <x:c r="AH154" s="43"/>
      <x:c r="AI154" s="43"/>
    </x:row>
    <x:row r="155">
      <x:c r="A155" s="43"/>
      <x:c r="B155" s="43"/>
      <x:c r="C155" s="43"/>
      <x:c r="D155" s="43" t="str">
        <x:f>IF(C155="","",YEAR(C155))</x:f>
      </x:c>
      <x:c r="E155" s="43" t="str">
        <x:f>IF(C155="","",MONTH(C155))</x:f>
      </x:c>
      <x:c r="F155" s="43" t="str">
        <x:f>IF(C155="","",WEEKNUM(C155,21))</x:f>
      </x:c>
      <x:c r="G155" s="43" t="str">
        <x:f>IF(C155="","",CHOOSE(WEEKDAY(C155,2),"Lundi","Mardi","Mercredi","Jeudi","Vendredi","Samedi","Dimanche"))</x:f>
      </x:c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  <x:c r="AA155" s="43"/>
      <x:c r="AB155" s="43"/>
      <x:c r="AC155" s="43"/>
      <x:c r="AD155" s="43"/>
      <x:c r="AE155" s="43"/>
      <x:c r="AF155" s="43"/>
      <x:c r="AG155" s="67"/>
      <x:c r="AH155" s="43"/>
      <x:c r="AI155" s="43"/>
    </x:row>
    <x:row r="156">
      <x:c r="A156" s="43"/>
      <x:c r="B156" s="43"/>
      <x:c r="C156" s="43"/>
      <x:c r="D156" s="43" t="str">
        <x:f>IF(C156="","",YEAR(C156))</x:f>
      </x:c>
      <x:c r="E156" s="43" t="str">
        <x:f>IF(C156="","",MONTH(C156))</x:f>
      </x:c>
      <x:c r="F156" s="43" t="str">
        <x:f>IF(C156="","",WEEKNUM(C156,21))</x:f>
      </x:c>
      <x:c r="G156" s="43" t="str">
        <x:f>IF(C156="","",CHOOSE(WEEKDAY(C156,2),"Lundi","Mardi","Mercredi","Jeudi","Vendredi","Samedi","Dimanche"))</x:f>
      </x:c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  <x:c r="AA156" s="43"/>
      <x:c r="AB156" s="43"/>
      <x:c r="AC156" s="43"/>
      <x:c r="AD156" s="43"/>
      <x:c r="AE156" s="43"/>
      <x:c r="AF156" s="43"/>
      <x:c r="AG156" s="67"/>
      <x:c r="AH156" s="43"/>
      <x:c r="AI156" s="43"/>
    </x:row>
    <x:row r="157">
      <x:c r="A157" s="43"/>
      <x:c r="B157" s="43"/>
      <x:c r="C157" s="43"/>
      <x:c r="D157" s="43" t="str">
        <x:f>IF(C157="","",YEAR(C157))</x:f>
      </x:c>
      <x:c r="E157" s="43" t="str">
        <x:f>IF(C157="","",MONTH(C157))</x:f>
      </x:c>
      <x:c r="F157" s="43" t="str">
        <x:f>IF(C157="","",WEEKNUM(C157,21))</x:f>
      </x:c>
      <x:c r="G157" s="43" t="str">
        <x:f>IF(C157="","",CHOOSE(WEEKDAY(C157,2),"Lundi","Mardi","Mercredi","Jeudi","Vendredi","Samedi","Dimanche"))</x:f>
      </x:c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  <x:c r="AA157" s="43"/>
      <x:c r="AB157" s="43"/>
      <x:c r="AC157" s="43"/>
      <x:c r="AD157" s="43"/>
      <x:c r="AE157" s="43"/>
      <x:c r="AF157" s="43"/>
      <x:c r="AG157" s="67"/>
      <x:c r="AH157" s="43"/>
      <x:c r="AI157" s="43"/>
    </x:row>
    <x:row r="158">
      <x:c r="A158" s="43"/>
      <x:c r="B158" s="43"/>
      <x:c r="C158" s="43"/>
      <x:c r="D158" s="43" t="str">
        <x:f>IF(C158="","",YEAR(C158))</x:f>
      </x:c>
      <x:c r="E158" s="43" t="str">
        <x:f>IF(C158="","",MONTH(C158))</x:f>
      </x:c>
      <x:c r="F158" s="43" t="str">
        <x:f>IF(C158="","",WEEKNUM(C158,21))</x:f>
      </x:c>
      <x:c r="G158" s="43" t="str">
        <x:f>IF(C158="","",CHOOSE(WEEKDAY(C158,2),"Lundi","Mardi","Mercredi","Jeudi","Vendredi","Samedi","Dimanche"))</x:f>
      </x:c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  <x:c r="AA158" s="43"/>
      <x:c r="AB158" s="43"/>
      <x:c r="AC158" s="43"/>
      <x:c r="AD158" s="43"/>
      <x:c r="AE158" s="43"/>
      <x:c r="AF158" s="43"/>
      <x:c r="AG158" s="67"/>
      <x:c r="AH158" s="43"/>
      <x:c r="AI158" s="43"/>
    </x:row>
    <x:row r="159">
      <x:c r="A159" s="43"/>
      <x:c r="B159" s="43"/>
      <x:c r="C159" s="43"/>
      <x:c r="D159" s="43" t="str">
        <x:f>IF(C159="","",YEAR(C159))</x:f>
      </x:c>
      <x:c r="E159" s="43" t="str">
        <x:f>IF(C159="","",MONTH(C159))</x:f>
      </x:c>
      <x:c r="F159" s="43" t="str">
        <x:f>IF(C159="","",WEEKNUM(C159,21))</x:f>
      </x:c>
      <x:c r="G159" s="43" t="str">
        <x:f>IF(C159="","",CHOOSE(WEEKDAY(C159,2),"Lundi","Mardi","Mercredi","Jeudi","Vendredi","Samedi","Dimanche"))</x:f>
      </x:c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  <x:c r="AA159" s="43"/>
      <x:c r="AB159" s="43"/>
      <x:c r="AC159" s="43"/>
      <x:c r="AD159" s="43"/>
      <x:c r="AE159" s="43"/>
      <x:c r="AF159" s="43"/>
      <x:c r="AG159" s="67"/>
      <x:c r="AH159" s="43"/>
      <x:c r="AI159" s="43"/>
    </x:row>
    <x:row r="160">
      <x:c r="A160" s="43"/>
      <x:c r="B160" s="43"/>
      <x:c r="C160" s="43"/>
      <x:c r="D160" s="43" t="str">
        <x:f>IF(C160="","",YEAR(C160))</x:f>
      </x:c>
      <x:c r="E160" s="43" t="str">
        <x:f>IF(C160="","",MONTH(C160))</x:f>
      </x:c>
      <x:c r="F160" s="43" t="str">
        <x:f>IF(C160="","",WEEKNUM(C160,21))</x:f>
      </x:c>
      <x:c r="G160" s="43" t="str">
        <x:f>IF(C160="","",CHOOSE(WEEKDAY(C160,2),"Lundi","Mardi","Mercredi","Jeudi","Vendredi","Samedi","Dimanche"))</x:f>
      </x:c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  <x:c r="AA160" s="43"/>
      <x:c r="AB160" s="43"/>
      <x:c r="AC160" s="43"/>
      <x:c r="AD160" s="43"/>
      <x:c r="AE160" s="43"/>
      <x:c r="AF160" s="43"/>
      <x:c r="AG160" s="67"/>
      <x:c r="AH160" s="43"/>
      <x:c r="AI160" s="43"/>
    </x:row>
    <x:row r="161">
      <x:c r="A161" s="43"/>
      <x:c r="B161" s="43"/>
      <x:c r="C161" s="43"/>
      <x:c r="D161" s="43" t="str">
        <x:f>IF(C161="","",YEAR(C161))</x:f>
      </x:c>
      <x:c r="E161" s="43" t="str">
        <x:f>IF(C161="","",MONTH(C161))</x:f>
      </x:c>
      <x:c r="F161" s="43" t="str">
        <x:f>IF(C161="","",WEEKNUM(C161,21))</x:f>
      </x:c>
      <x:c r="G161" s="43" t="str">
        <x:f>IF(C161="","",CHOOSE(WEEKDAY(C161,2),"Lundi","Mardi","Mercredi","Jeudi","Vendredi","Samedi","Dimanche"))</x:f>
      </x:c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  <x:c r="AA161" s="43"/>
      <x:c r="AB161" s="43"/>
      <x:c r="AC161" s="43"/>
      <x:c r="AD161" s="43"/>
      <x:c r="AE161" s="43"/>
      <x:c r="AF161" s="43"/>
      <x:c r="AG161" s="67"/>
      <x:c r="AH161" s="43"/>
      <x:c r="AI161" s="43"/>
    </x:row>
    <x:row r="162">
      <x:c r="A162" s="43"/>
      <x:c r="B162" s="43"/>
      <x:c r="C162" s="43"/>
      <x:c r="D162" s="43" t="str">
        <x:f>IF(C162="","",YEAR(C162))</x:f>
      </x:c>
      <x:c r="E162" s="43" t="str">
        <x:f>IF(C162="","",MONTH(C162))</x:f>
      </x:c>
      <x:c r="F162" s="43" t="str">
        <x:f>IF(C162="","",WEEKNUM(C162,21))</x:f>
      </x:c>
      <x:c r="G162" s="43" t="str">
        <x:f>IF(C162="","",CHOOSE(WEEKDAY(C162,2),"Lundi","Mardi","Mercredi","Jeudi","Vendredi","Samedi","Dimanche"))</x:f>
      </x:c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  <x:c r="AA162" s="43"/>
      <x:c r="AB162" s="43"/>
      <x:c r="AC162" s="43"/>
      <x:c r="AD162" s="43"/>
      <x:c r="AE162" s="43"/>
      <x:c r="AF162" s="43"/>
      <x:c r="AG162" s="67"/>
      <x:c r="AH162" s="43"/>
      <x:c r="AI162" s="43"/>
    </x:row>
    <x:row r="163">
      <x:c r="A163" s="43"/>
      <x:c r="B163" s="43"/>
      <x:c r="C163" s="43"/>
      <x:c r="D163" s="43" t="str">
        <x:f>IF(C163="","",YEAR(C163))</x:f>
      </x:c>
      <x:c r="E163" s="43" t="str">
        <x:f>IF(C163="","",MONTH(C163))</x:f>
      </x:c>
      <x:c r="F163" s="43" t="str">
        <x:f>IF(C163="","",WEEKNUM(C163,21))</x:f>
      </x:c>
      <x:c r="G163" s="43" t="str">
        <x:f>IF(C163="","",CHOOSE(WEEKDAY(C163,2),"Lundi","Mardi","Mercredi","Jeudi","Vendredi","Samedi","Dimanche"))</x:f>
      </x:c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  <x:c r="AA163" s="43"/>
      <x:c r="AB163" s="43"/>
      <x:c r="AC163" s="43"/>
      <x:c r="AD163" s="43"/>
      <x:c r="AE163" s="43"/>
      <x:c r="AF163" s="43"/>
      <x:c r="AG163" s="67"/>
      <x:c r="AH163" s="43"/>
      <x:c r="AI163" s="43"/>
    </x:row>
    <x:row r="164">
      <x:c r="A164" s="43"/>
      <x:c r="B164" s="43"/>
      <x:c r="C164" s="43"/>
      <x:c r="D164" s="43" t="str">
        <x:f>IF(C164="","",YEAR(C164))</x:f>
      </x:c>
      <x:c r="E164" s="43" t="str">
        <x:f>IF(C164="","",MONTH(C164))</x:f>
      </x:c>
      <x:c r="F164" s="43" t="str">
        <x:f>IF(C164="","",WEEKNUM(C164,21))</x:f>
      </x:c>
      <x:c r="G164" s="43" t="str">
        <x:f>IF(C164="","",CHOOSE(WEEKDAY(C164,2),"Lundi","Mardi","Mercredi","Jeudi","Vendredi","Samedi","Dimanche"))</x:f>
      </x:c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  <x:c r="AA164" s="43"/>
      <x:c r="AB164" s="43"/>
      <x:c r="AC164" s="43"/>
      <x:c r="AD164" s="43"/>
      <x:c r="AE164" s="43"/>
      <x:c r="AF164" s="43"/>
      <x:c r="AG164" s="67"/>
      <x:c r="AH164" s="43"/>
      <x:c r="AI164" s="43"/>
    </x:row>
    <x:row r="165">
      <x:c r="A165" s="43"/>
      <x:c r="B165" s="43"/>
      <x:c r="C165" s="43"/>
      <x:c r="D165" s="43" t="str">
        <x:f>IF(C165="","",YEAR(C165))</x:f>
      </x:c>
      <x:c r="E165" s="43" t="str">
        <x:f>IF(C165="","",MONTH(C165))</x:f>
      </x:c>
      <x:c r="F165" s="43" t="str">
        <x:f>IF(C165="","",WEEKNUM(C165,21))</x:f>
      </x:c>
      <x:c r="G165" s="43" t="str">
        <x:f>IF(C165="","",CHOOSE(WEEKDAY(C165,2),"Lundi","Mardi","Mercredi","Jeudi","Vendredi","Samedi","Dimanche"))</x:f>
      </x:c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  <x:c r="AA165" s="43"/>
      <x:c r="AB165" s="43"/>
      <x:c r="AC165" s="43"/>
      <x:c r="AD165" s="43"/>
      <x:c r="AE165" s="43"/>
      <x:c r="AF165" s="43"/>
      <x:c r="AG165" s="67"/>
      <x:c r="AH165" s="43"/>
      <x:c r="AI165" s="43"/>
    </x:row>
    <x:row r="166">
      <x:c r="A166" s="43"/>
      <x:c r="B166" s="43"/>
      <x:c r="C166" s="43"/>
      <x:c r="D166" s="43" t="str">
        <x:f>IF(C166="","",YEAR(C166))</x:f>
      </x:c>
      <x:c r="E166" s="43" t="str">
        <x:f>IF(C166="","",MONTH(C166))</x:f>
      </x:c>
      <x:c r="F166" s="43" t="str">
        <x:f>IF(C166="","",WEEKNUM(C166,21))</x:f>
      </x:c>
      <x:c r="G166" s="43" t="str">
        <x:f>IF(C166="","",CHOOSE(WEEKDAY(C166,2),"Lundi","Mardi","Mercredi","Jeudi","Vendredi","Samedi","Dimanche"))</x:f>
      </x:c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  <x:c r="AA166" s="43"/>
      <x:c r="AB166" s="43"/>
      <x:c r="AC166" s="43"/>
      <x:c r="AD166" s="43"/>
      <x:c r="AE166" s="43"/>
      <x:c r="AF166" s="43"/>
      <x:c r="AG166" s="67"/>
      <x:c r="AH166" s="43"/>
      <x:c r="AI166" s="43"/>
    </x:row>
    <x:row r="167">
      <x:c r="A167" s="43"/>
      <x:c r="B167" s="43"/>
      <x:c r="C167" s="43"/>
      <x:c r="D167" s="43" t="str">
        <x:f>IF(C167="","",YEAR(C167))</x:f>
      </x:c>
      <x:c r="E167" s="43" t="str">
        <x:f>IF(C167="","",MONTH(C167))</x:f>
      </x:c>
      <x:c r="F167" s="43" t="str">
        <x:f>IF(C167="","",WEEKNUM(C167,21))</x:f>
      </x:c>
      <x:c r="G167" s="43" t="str">
        <x:f>IF(C167="","",CHOOSE(WEEKDAY(C167,2),"Lundi","Mardi","Mercredi","Jeudi","Vendredi","Samedi","Dimanche"))</x:f>
      </x:c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  <x:c r="AA167" s="43"/>
      <x:c r="AB167" s="43"/>
      <x:c r="AC167" s="43"/>
      <x:c r="AD167" s="43"/>
      <x:c r="AE167" s="43"/>
      <x:c r="AF167" s="43"/>
      <x:c r="AG167" s="67"/>
      <x:c r="AH167" s="43"/>
      <x:c r="AI167" s="43"/>
    </x:row>
    <x:row r="168">
      <x:c r="A168" s="43"/>
      <x:c r="B168" s="43"/>
      <x:c r="C168" s="43"/>
      <x:c r="D168" s="43" t="str">
        <x:f>IF(C168="","",YEAR(C168))</x:f>
      </x:c>
      <x:c r="E168" s="43" t="str">
        <x:f>IF(C168="","",MONTH(C168))</x:f>
      </x:c>
      <x:c r="F168" s="43" t="str">
        <x:f>IF(C168="","",WEEKNUM(C168,21))</x:f>
      </x:c>
      <x:c r="G168" s="43" t="str">
        <x:f>IF(C168="","",CHOOSE(WEEKDAY(C168,2),"Lundi","Mardi","Mercredi","Jeudi","Vendredi","Samedi","Dimanche"))</x:f>
      </x:c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  <x:c r="AA168" s="43"/>
      <x:c r="AB168" s="43"/>
      <x:c r="AC168" s="43"/>
      <x:c r="AD168" s="43"/>
      <x:c r="AE168" s="43"/>
      <x:c r="AF168" s="43"/>
      <x:c r="AG168" s="67"/>
      <x:c r="AH168" s="43"/>
      <x:c r="AI168" s="43"/>
    </x:row>
    <x:row r="169">
      <x:c r="A169" s="43"/>
      <x:c r="B169" s="43"/>
      <x:c r="C169" s="43"/>
      <x:c r="D169" s="43" t="str">
        <x:f>IF(C169="","",YEAR(C169))</x:f>
      </x:c>
      <x:c r="E169" s="43" t="str">
        <x:f>IF(C169="","",MONTH(C169))</x:f>
      </x:c>
      <x:c r="F169" s="43" t="str">
        <x:f>IF(C169="","",WEEKNUM(C169,21))</x:f>
      </x:c>
      <x:c r="G169" s="43" t="str">
        <x:f>IF(C169="","",CHOOSE(WEEKDAY(C169,2),"Lundi","Mardi","Mercredi","Jeudi","Vendredi","Samedi","Dimanche"))</x:f>
      </x:c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  <x:c r="AA169" s="43"/>
      <x:c r="AB169" s="43"/>
      <x:c r="AC169" s="43"/>
      <x:c r="AD169" s="43"/>
      <x:c r="AE169" s="43"/>
      <x:c r="AF169" s="43"/>
      <x:c r="AG169" s="67"/>
      <x:c r="AH169" s="43"/>
      <x:c r="AI169" s="43"/>
    </x:row>
    <x:row r="170">
      <x:c r="A170" s="43"/>
      <x:c r="B170" s="43"/>
      <x:c r="C170" s="43"/>
      <x:c r="D170" s="43" t="str">
        <x:f>IF(C170="","",YEAR(C170))</x:f>
      </x:c>
      <x:c r="E170" s="43" t="str">
        <x:f>IF(C170="","",MONTH(C170))</x:f>
      </x:c>
      <x:c r="F170" s="43" t="str">
        <x:f>IF(C170="","",WEEKNUM(C170,21))</x:f>
      </x:c>
      <x:c r="G170" s="43" t="str">
        <x:f>IF(C170="","",CHOOSE(WEEKDAY(C170,2),"Lundi","Mardi","Mercredi","Jeudi","Vendredi","Samedi","Dimanche"))</x:f>
      </x:c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  <x:c r="AA170" s="43"/>
      <x:c r="AB170" s="43"/>
      <x:c r="AC170" s="43"/>
      <x:c r="AD170" s="43"/>
      <x:c r="AE170" s="43"/>
      <x:c r="AF170" s="43"/>
      <x:c r="AG170" s="67"/>
      <x:c r="AH170" s="43"/>
      <x:c r="AI170" s="43"/>
    </x:row>
    <x:row r="171">
      <x:c r="A171" s="43"/>
      <x:c r="B171" s="43"/>
      <x:c r="C171" s="43"/>
      <x:c r="D171" s="43" t="str">
        <x:f>IF(C171="","",YEAR(C171))</x:f>
      </x:c>
      <x:c r="E171" s="43" t="str">
        <x:f>IF(C171="","",MONTH(C171))</x:f>
      </x:c>
      <x:c r="F171" s="43" t="str">
        <x:f>IF(C171="","",WEEKNUM(C171,21))</x:f>
      </x:c>
      <x:c r="G171" s="43" t="str">
        <x:f>IF(C171="","",CHOOSE(WEEKDAY(C171,2),"Lundi","Mardi","Mercredi","Jeudi","Vendredi","Samedi","Dimanche"))</x:f>
      </x:c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  <x:c r="AA171" s="43"/>
      <x:c r="AB171" s="43"/>
      <x:c r="AC171" s="43"/>
      <x:c r="AD171" s="43"/>
      <x:c r="AE171" s="43"/>
      <x:c r="AF171" s="43"/>
      <x:c r="AG171" s="67"/>
      <x:c r="AH171" s="43"/>
      <x:c r="AI171" s="43"/>
    </x:row>
    <x:row r="172">
      <x:c r="A172" s="43"/>
      <x:c r="B172" s="43"/>
      <x:c r="C172" s="43"/>
      <x:c r="D172" s="43" t="str">
        <x:f>IF(C172="","",YEAR(C172))</x:f>
      </x:c>
      <x:c r="E172" s="43" t="str">
        <x:f>IF(C172="","",MONTH(C172))</x:f>
      </x:c>
      <x:c r="F172" s="43" t="str">
        <x:f>IF(C172="","",WEEKNUM(C172,21))</x:f>
      </x:c>
      <x:c r="G172" s="43" t="str">
        <x:f>IF(C172="","",CHOOSE(WEEKDAY(C172,2),"Lundi","Mardi","Mercredi","Jeudi","Vendredi","Samedi","Dimanche"))</x:f>
      </x:c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  <x:c r="AA172" s="43"/>
      <x:c r="AB172" s="43"/>
      <x:c r="AC172" s="43"/>
      <x:c r="AD172" s="43"/>
      <x:c r="AE172" s="43"/>
      <x:c r="AF172" s="43"/>
      <x:c r="AG172" s="67"/>
      <x:c r="AH172" s="43"/>
      <x:c r="AI172" s="43"/>
    </x:row>
    <x:row r="173">
      <x:c r="A173" s="43"/>
      <x:c r="B173" s="43"/>
      <x:c r="C173" s="43"/>
      <x:c r="D173" s="43" t="str">
        <x:f>IF(C173="","",YEAR(C173))</x:f>
      </x:c>
      <x:c r="E173" s="43" t="str">
        <x:f>IF(C173="","",MONTH(C173))</x:f>
      </x:c>
      <x:c r="F173" s="43" t="str">
        <x:f>IF(C173="","",WEEKNUM(C173,21))</x:f>
      </x:c>
      <x:c r="G173" s="43" t="str">
        <x:f>IF(C173="","",CHOOSE(WEEKDAY(C173,2),"Lundi","Mardi","Mercredi","Jeudi","Vendredi","Samedi","Dimanche"))</x:f>
      </x:c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  <x:c r="AA173" s="43"/>
      <x:c r="AB173" s="43"/>
      <x:c r="AC173" s="43"/>
      <x:c r="AD173" s="43"/>
      <x:c r="AE173" s="43"/>
      <x:c r="AF173" s="43"/>
      <x:c r="AG173" s="67"/>
      <x:c r="AH173" s="43"/>
      <x:c r="AI173" s="43"/>
    </x:row>
    <x:row r="174">
      <x:c r="A174" s="43"/>
      <x:c r="B174" s="43"/>
      <x:c r="C174" s="43"/>
      <x:c r="D174" s="43" t="str">
        <x:f>IF(C174="","",YEAR(C174))</x:f>
      </x:c>
      <x:c r="E174" s="43" t="str">
        <x:f>IF(C174="","",MONTH(C174))</x:f>
      </x:c>
      <x:c r="F174" s="43" t="str">
        <x:f>IF(C174="","",WEEKNUM(C174,21))</x:f>
      </x:c>
      <x:c r="G174" s="43" t="str">
        <x:f>IF(C174="","",CHOOSE(WEEKDAY(C174,2),"Lundi","Mardi","Mercredi","Jeudi","Vendredi","Samedi","Dimanche"))</x:f>
      </x:c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  <x:c r="AA174" s="43"/>
      <x:c r="AB174" s="43"/>
      <x:c r="AC174" s="43"/>
      <x:c r="AD174" s="43"/>
      <x:c r="AE174" s="43"/>
      <x:c r="AF174" s="43"/>
      <x:c r="AG174" s="67"/>
      <x:c r="AH174" s="43"/>
      <x:c r="AI174" s="43"/>
    </x:row>
    <x:row r="175">
      <x:c r="A175" s="43"/>
      <x:c r="B175" s="43"/>
      <x:c r="C175" s="43"/>
      <x:c r="D175" s="43" t="str">
        <x:f>IF(C175="","",YEAR(C175))</x:f>
      </x:c>
      <x:c r="E175" s="43" t="str">
        <x:f>IF(C175="","",MONTH(C175))</x:f>
      </x:c>
      <x:c r="F175" s="43" t="str">
        <x:f>IF(C175="","",WEEKNUM(C175,21))</x:f>
      </x:c>
      <x:c r="G175" s="43" t="str">
        <x:f>IF(C175="","",CHOOSE(WEEKDAY(C175,2),"Lundi","Mardi","Mercredi","Jeudi","Vendredi","Samedi","Dimanche"))</x:f>
      </x:c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  <x:c r="AA175" s="43"/>
      <x:c r="AB175" s="43"/>
      <x:c r="AC175" s="43"/>
      <x:c r="AD175" s="43"/>
      <x:c r="AE175" s="43"/>
      <x:c r="AF175" s="43"/>
      <x:c r="AG175" s="67"/>
      <x:c r="AH175" s="43"/>
      <x:c r="AI175" s="43"/>
    </x:row>
    <x:row r="176">
      <x:c r="A176" s="43"/>
      <x:c r="B176" s="43"/>
      <x:c r="C176" s="43"/>
      <x:c r="D176" s="43" t="str">
        <x:f>IF(C176="","",YEAR(C176))</x:f>
      </x:c>
      <x:c r="E176" s="43" t="str">
        <x:f>IF(C176="","",MONTH(C176))</x:f>
      </x:c>
      <x:c r="F176" s="43" t="str">
        <x:f>IF(C176="","",WEEKNUM(C176,21))</x:f>
      </x:c>
      <x:c r="G176" s="43" t="str">
        <x:f>IF(C176="","",CHOOSE(WEEKDAY(C176,2),"Lundi","Mardi","Mercredi","Jeudi","Vendredi","Samedi","Dimanche"))</x:f>
      </x:c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  <x:c r="AA176" s="43"/>
      <x:c r="AB176" s="43"/>
      <x:c r="AC176" s="43"/>
      <x:c r="AD176" s="43"/>
      <x:c r="AE176" s="43"/>
      <x:c r="AF176" s="43"/>
      <x:c r="AG176" s="67"/>
      <x:c r="AH176" s="43"/>
      <x:c r="AI176" s="43"/>
    </x:row>
    <x:row r="177">
      <x:c r="A177" s="43"/>
      <x:c r="B177" s="43"/>
      <x:c r="C177" s="43"/>
      <x:c r="D177" s="43" t="str">
        <x:f>IF(C177="","",YEAR(C177))</x:f>
      </x:c>
      <x:c r="E177" s="43" t="str">
        <x:f>IF(C177="","",MONTH(C177))</x:f>
      </x:c>
      <x:c r="F177" s="43" t="str">
        <x:f>IF(C177="","",WEEKNUM(C177,21))</x:f>
      </x:c>
      <x:c r="G177" s="43" t="str">
        <x:f>IF(C177="","",CHOOSE(WEEKDAY(C177,2),"Lundi","Mardi","Mercredi","Jeudi","Vendredi","Samedi","Dimanche"))</x:f>
      </x:c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  <x:c r="AA177" s="43"/>
      <x:c r="AB177" s="43"/>
      <x:c r="AC177" s="43"/>
      <x:c r="AD177" s="43"/>
      <x:c r="AE177" s="43"/>
      <x:c r="AF177" s="43"/>
      <x:c r="AG177" s="67"/>
      <x:c r="AH177" s="43"/>
      <x:c r="AI177" s="43"/>
    </x:row>
    <x:row r="178">
      <x:c r="A178" s="43"/>
      <x:c r="B178" s="43"/>
      <x:c r="C178" s="43"/>
      <x:c r="D178" s="43" t="str">
        <x:f>IF(C178="","",YEAR(C178))</x:f>
      </x:c>
      <x:c r="E178" s="43" t="str">
        <x:f>IF(C178="","",MONTH(C178))</x:f>
      </x:c>
      <x:c r="F178" s="43" t="str">
        <x:f>IF(C178="","",WEEKNUM(C178,21))</x:f>
      </x:c>
      <x:c r="G178" s="43" t="str">
        <x:f>IF(C178="","",CHOOSE(WEEKDAY(C178,2),"Lundi","Mardi","Mercredi","Jeudi","Vendredi","Samedi","Dimanche"))</x:f>
      </x:c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  <x:c r="AA178" s="43"/>
      <x:c r="AB178" s="43"/>
      <x:c r="AC178" s="43"/>
      <x:c r="AD178" s="43"/>
      <x:c r="AE178" s="43"/>
      <x:c r="AF178" s="43"/>
      <x:c r="AG178" s="67"/>
      <x:c r="AH178" s="43"/>
      <x:c r="AI178" s="43"/>
    </x:row>
    <x:row r="179">
      <x:c r="A179" s="43"/>
      <x:c r="B179" s="43"/>
      <x:c r="C179" s="43"/>
      <x:c r="D179" s="43" t="str">
        <x:f>IF(C179="","",YEAR(C179))</x:f>
      </x:c>
      <x:c r="E179" s="43" t="str">
        <x:f>IF(C179="","",MONTH(C179))</x:f>
      </x:c>
      <x:c r="F179" s="43" t="str">
        <x:f>IF(C179="","",WEEKNUM(C179,21))</x:f>
      </x:c>
      <x:c r="G179" s="43" t="str">
        <x:f>IF(C179="","",CHOOSE(WEEKDAY(C179,2),"Lundi","Mardi","Mercredi","Jeudi","Vendredi","Samedi","Dimanche"))</x:f>
      </x:c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  <x:c r="AA179" s="43"/>
      <x:c r="AB179" s="43"/>
      <x:c r="AC179" s="43"/>
      <x:c r="AD179" s="43"/>
      <x:c r="AE179" s="43"/>
      <x:c r="AF179" s="43"/>
      <x:c r="AG179" s="67"/>
      <x:c r="AH179" s="43"/>
      <x:c r="AI179" s="43"/>
    </x:row>
    <x:row r="180">
      <x:c r="A180" s="43"/>
      <x:c r="B180" s="43"/>
      <x:c r="C180" s="43"/>
      <x:c r="D180" s="43" t="str">
        <x:f>IF(C180="","",YEAR(C180))</x:f>
      </x:c>
      <x:c r="E180" s="43" t="str">
        <x:f>IF(C180="","",MONTH(C180))</x:f>
      </x:c>
      <x:c r="F180" s="43" t="str">
        <x:f>IF(C180="","",WEEKNUM(C180,21))</x:f>
      </x:c>
      <x:c r="G180" s="43" t="str">
        <x:f>IF(C180="","",CHOOSE(WEEKDAY(C180,2),"Lundi","Mardi","Mercredi","Jeudi","Vendredi","Samedi","Dimanche"))</x:f>
      </x:c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  <x:c r="AA180" s="43"/>
      <x:c r="AB180" s="43"/>
      <x:c r="AC180" s="43"/>
      <x:c r="AD180" s="43"/>
      <x:c r="AE180" s="43"/>
      <x:c r="AF180" s="43"/>
      <x:c r="AG180" s="67"/>
      <x:c r="AH180" s="43"/>
      <x:c r="AI180" s="43"/>
    </x:row>
    <x:row r="181">
      <x:c r="A181" s="43"/>
      <x:c r="B181" s="43"/>
      <x:c r="C181" s="43"/>
      <x:c r="D181" s="43" t="str">
        <x:f>IF(C181="","",YEAR(C181))</x:f>
      </x:c>
      <x:c r="E181" s="43" t="str">
        <x:f>IF(C181="","",MONTH(C181))</x:f>
      </x:c>
      <x:c r="F181" s="43" t="str">
        <x:f>IF(C181="","",WEEKNUM(C181,21))</x:f>
      </x:c>
      <x:c r="G181" s="43" t="str">
        <x:f>IF(C181="","",CHOOSE(WEEKDAY(C181,2),"Lundi","Mardi","Mercredi","Jeudi","Vendredi","Samedi","Dimanche"))</x:f>
      </x:c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  <x:c r="AA181" s="43"/>
      <x:c r="AB181" s="43"/>
      <x:c r="AC181" s="43"/>
      <x:c r="AD181" s="43"/>
      <x:c r="AE181" s="43"/>
      <x:c r="AF181" s="43"/>
      <x:c r="AG181" s="67"/>
      <x:c r="AH181" s="43"/>
      <x:c r="AI181" s="43"/>
    </x:row>
    <x:row r="182">
      <x:c r="A182" s="43"/>
      <x:c r="B182" s="43"/>
      <x:c r="C182" s="43"/>
      <x:c r="D182" s="43" t="str">
        <x:f>IF(C182="","",YEAR(C182))</x:f>
      </x:c>
      <x:c r="E182" s="43" t="str">
        <x:f>IF(C182="","",MONTH(C182))</x:f>
      </x:c>
      <x:c r="F182" s="43" t="str">
        <x:f>IF(C182="","",WEEKNUM(C182,21))</x:f>
      </x:c>
      <x:c r="G182" s="43" t="str">
        <x:f>IF(C182="","",CHOOSE(WEEKDAY(C182,2),"Lundi","Mardi","Mercredi","Jeudi","Vendredi","Samedi","Dimanche"))</x:f>
      </x:c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  <x:c r="AA182" s="43"/>
      <x:c r="AB182" s="43"/>
      <x:c r="AC182" s="43"/>
      <x:c r="AD182" s="43"/>
      <x:c r="AE182" s="43"/>
      <x:c r="AF182" s="43"/>
      <x:c r="AG182" s="67"/>
      <x:c r="AH182" s="43"/>
      <x:c r="AI182" s="43"/>
    </x:row>
    <x:row r="183">
      <x:c r="A183" s="43"/>
      <x:c r="B183" s="43"/>
      <x:c r="C183" s="43"/>
      <x:c r="D183" s="43" t="str">
        <x:f>IF(C183="","",YEAR(C183))</x:f>
      </x:c>
      <x:c r="E183" s="43" t="str">
        <x:f>IF(C183="","",MONTH(C183))</x:f>
      </x:c>
      <x:c r="F183" s="43" t="str">
        <x:f>IF(C183="","",WEEKNUM(C183,21))</x:f>
      </x:c>
      <x:c r="G183" s="43" t="str">
        <x:f>IF(C183="","",CHOOSE(WEEKDAY(C183,2),"Lundi","Mardi","Mercredi","Jeudi","Vendredi","Samedi","Dimanche"))</x:f>
      </x:c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  <x:c r="AA183" s="43"/>
      <x:c r="AB183" s="43"/>
      <x:c r="AC183" s="43"/>
      <x:c r="AD183" s="43"/>
      <x:c r="AE183" s="43"/>
      <x:c r="AF183" s="43"/>
      <x:c r="AG183" s="67"/>
      <x:c r="AH183" s="43"/>
      <x:c r="AI183" s="43"/>
    </x:row>
    <x:row r="184">
      <x:c r="A184" s="43"/>
      <x:c r="B184" s="43"/>
      <x:c r="C184" s="43"/>
      <x:c r="D184" s="43" t="str">
        <x:f>IF(C184="","",YEAR(C184))</x:f>
      </x:c>
      <x:c r="E184" s="43" t="str">
        <x:f>IF(C184="","",MONTH(C184))</x:f>
      </x:c>
      <x:c r="F184" s="43" t="str">
        <x:f>IF(C184="","",WEEKNUM(C184,21))</x:f>
      </x:c>
      <x:c r="G184" s="43" t="str">
        <x:f>IF(C184="","",CHOOSE(WEEKDAY(C184,2),"Lundi","Mardi","Mercredi","Jeudi","Vendredi","Samedi","Dimanche"))</x:f>
      </x:c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  <x:c r="AA184" s="43"/>
      <x:c r="AB184" s="43"/>
      <x:c r="AC184" s="43"/>
      <x:c r="AD184" s="43"/>
      <x:c r="AE184" s="43"/>
      <x:c r="AF184" s="43"/>
      <x:c r="AG184" s="67"/>
      <x:c r="AH184" s="43"/>
      <x:c r="AI184" s="43"/>
    </x:row>
    <x:row r="185">
      <x:c r="A185" s="43"/>
      <x:c r="B185" s="43"/>
      <x:c r="C185" s="43"/>
      <x:c r="D185" s="43" t="str">
        <x:f>IF(C185="","",YEAR(C185))</x:f>
      </x:c>
      <x:c r="E185" s="43" t="str">
        <x:f>IF(C185="","",MONTH(C185))</x:f>
      </x:c>
      <x:c r="F185" s="43" t="str">
        <x:f>IF(C185="","",WEEKNUM(C185,21))</x:f>
      </x:c>
      <x:c r="G185" s="43" t="str">
        <x:f>IF(C185="","",CHOOSE(WEEKDAY(C185,2),"Lundi","Mardi","Mercredi","Jeudi","Vendredi","Samedi","Dimanche"))</x:f>
      </x:c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  <x:c r="AA185" s="43"/>
      <x:c r="AB185" s="43"/>
      <x:c r="AC185" s="43"/>
      <x:c r="AD185" s="43"/>
      <x:c r="AE185" s="43"/>
      <x:c r="AF185" s="43"/>
      <x:c r="AG185" s="67"/>
      <x:c r="AH185" s="43"/>
      <x:c r="AI185" s="43"/>
    </x:row>
    <x:row r="186">
      <x:c r="A186" s="43"/>
      <x:c r="B186" s="43"/>
      <x:c r="C186" s="43"/>
      <x:c r="D186" s="43" t="str">
        <x:f>IF(C186="","",YEAR(C186))</x:f>
      </x:c>
      <x:c r="E186" s="43" t="str">
        <x:f>IF(C186="","",MONTH(C186))</x:f>
      </x:c>
      <x:c r="F186" s="43" t="str">
        <x:f>IF(C186="","",WEEKNUM(C186,21))</x:f>
      </x:c>
      <x:c r="G186" s="43" t="str">
        <x:f>IF(C186="","",CHOOSE(WEEKDAY(C186,2),"Lundi","Mardi","Mercredi","Jeudi","Vendredi","Samedi","Dimanche"))</x:f>
      </x:c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  <x:c r="AA186" s="43"/>
      <x:c r="AB186" s="43"/>
      <x:c r="AC186" s="43"/>
      <x:c r="AD186" s="43"/>
      <x:c r="AE186" s="43"/>
      <x:c r="AF186" s="43"/>
      <x:c r="AG186" s="67"/>
      <x:c r="AH186" s="43"/>
      <x:c r="AI186" s="43"/>
    </x:row>
    <x:row r="187">
      <x:c r="A187" s="43"/>
      <x:c r="B187" s="43"/>
      <x:c r="C187" s="43"/>
      <x:c r="D187" s="43" t="str">
        <x:f>IF(C187="","",YEAR(C187))</x:f>
      </x:c>
      <x:c r="E187" s="43" t="str">
        <x:f>IF(C187="","",MONTH(C187))</x:f>
      </x:c>
      <x:c r="F187" s="43" t="str">
        <x:f>IF(C187="","",WEEKNUM(C187,21))</x:f>
      </x:c>
      <x:c r="G187" s="43" t="str">
        <x:f>IF(C187="","",CHOOSE(WEEKDAY(C187,2),"Lundi","Mardi","Mercredi","Jeudi","Vendredi","Samedi","Dimanche"))</x:f>
      </x:c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  <x:c r="AA187" s="43"/>
      <x:c r="AB187" s="43"/>
      <x:c r="AC187" s="43"/>
      <x:c r="AD187" s="43"/>
      <x:c r="AE187" s="43"/>
      <x:c r="AF187" s="43"/>
      <x:c r="AG187" s="67"/>
      <x:c r="AH187" s="43"/>
      <x:c r="AI187" s="43"/>
    </x:row>
    <x:row r="188">
      <x:c r="A188" s="43"/>
      <x:c r="B188" s="43"/>
      <x:c r="C188" s="43"/>
      <x:c r="D188" s="43" t="str">
        <x:f>IF(C188="","",YEAR(C188))</x:f>
      </x:c>
      <x:c r="E188" s="43" t="str">
        <x:f>IF(C188="","",MONTH(C188))</x:f>
      </x:c>
      <x:c r="F188" s="43" t="str">
        <x:f>IF(C188="","",WEEKNUM(C188,21))</x:f>
      </x:c>
      <x:c r="G188" s="43" t="str">
        <x:f>IF(C188="","",CHOOSE(WEEKDAY(C188,2),"Lundi","Mardi","Mercredi","Jeudi","Vendredi","Samedi","Dimanche"))</x:f>
      </x:c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  <x:c r="AA188" s="43"/>
      <x:c r="AB188" s="43"/>
      <x:c r="AC188" s="43"/>
      <x:c r="AD188" s="43"/>
      <x:c r="AE188" s="43"/>
      <x:c r="AF188" s="43"/>
      <x:c r="AG188" s="67"/>
      <x:c r="AH188" s="43"/>
      <x:c r="AI188" s="43"/>
    </x:row>
    <x:row r="189">
      <x:c r="A189" s="43"/>
      <x:c r="B189" s="43"/>
      <x:c r="C189" s="43"/>
      <x:c r="D189" s="43" t="str">
        <x:f>IF(C189="","",YEAR(C189))</x:f>
      </x:c>
      <x:c r="E189" s="43" t="str">
        <x:f>IF(C189="","",MONTH(C189))</x:f>
      </x:c>
      <x:c r="F189" s="43" t="str">
        <x:f>IF(C189="","",WEEKNUM(C189,21))</x:f>
      </x:c>
      <x:c r="G189" s="43" t="str">
        <x:f>IF(C189="","",CHOOSE(WEEKDAY(C189,2),"Lundi","Mardi","Mercredi","Jeudi","Vendredi","Samedi","Dimanche"))</x:f>
      </x:c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  <x:c r="AA189" s="43"/>
      <x:c r="AB189" s="43"/>
      <x:c r="AC189" s="43"/>
      <x:c r="AD189" s="43"/>
      <x:c r="AE189" s="43"/>
      <x:c r="AF189" s="43"/>
      <x:c r="AG189" s="67"/>
      <x:c r="AH189" s="43"/>
      <x:c r="AI189" s="43"/>
    </x:row>
    <x:row r="190">
      <x:c r="A190" s="43"/>
      <x:c r="B190" s="43"/>
      <x:c r="C190" s="43"/>
      <x:c r="D190" s="43" t="str">
        <x:f>IF(C190="","",YEAR(C190))</x:f>
      </x:c>
      <x:c r="E190" s="43" t="str">
        <x:f>IF(C190="","",MONTH(C190))</x:f>
      </x:c>
      <x:c r="F190" s="43" t="str">
        <x:f>IF(C190="","",WEEKNUM(C190,21))</x:f>
      </x:c>
      <x:c r="G190" s="43" t="str">
        <x:f>IF(C190="","",CHOOSE(WEEKDAY(C190,2),"Lundi","Mardi","Mercredi","Jeudi","Vendredi","Samedi","Dimanche"))</x:f>
      </x:c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  <x:c r="AA190" s="43"/>
      <x:c r="AB190" s="43"/>
      <x:c r="AC190" s="43"/>
      <x:c r="AD190" s="43"/>
      <x:c r="AE190" s="43"/>
      <x:c r="AF190" s="43"/>
      <x:c r="AG190" s="67"/>
      <x:c r="AH190" s="43"/>
      <x:c r="AI190" s="43"/>
    </x:row>
    <x:row r="191">
      <x:c r="A191" s="43"/>
      <x:c r="B191" s="43"/>
      <x:c r="C191" s="43"/>
      <x:c r="D191" s="43" t="str">
        <x:f>IF(C191="","",YEAR(C191))</x:f>
      </x:c>
      <x:c r="E191" s="43" t="str">
        <x:f>IF(C191="","",MONTH(C191))</x:f>
      </x:c>
      <x:c r="F191" s="43" t="str">
        <x:f>IF(C191="","",WEEKNUM(C191,21))</x:f>
      </x:c>
      <x:c r="G191" s="43" t="str">
        <x:f>IF(C191="","",CHOOSE(WEEKDAY(C191,2),"Lundi","Mardi","Mercredi","Jeudi","Vendredi","Samedi","Dimanche"))</x:f>
      </x:c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  <x:c r="AA191" s="43"/>
      <x:c r="AB191" s="43"/>
      <x:c r="AC191" s="43"/>
      <x:c r="AD191" s="43"/>
      <x:c r="AE191" s="43"/>
      <x:c r="AF191" s="43"/>
      <x:c r="AG191" s="67"/>
      <x:c r="AH191" s="43"/>
      <x:c r="AI191" s="43"/>
    </x:row>
    <x:row r="192">
      <x:c r="A192" s="43"/>
      <x:c r="B192" s="43"/>
      <x:c r="C192" s="43"/>
      <x:c r="D192" s="43" t="str">
        <x:f>IF(C192="","",YEAR(C192))</x:f>
      </x:c>
      <x:c r="E192" s="43" t="str">
        <x:f>IF(C192="","",MONTH(C192))</x:f>
      </x:c>
      <x:c r="F192" s="43" t="str">
        <x:f>IF(C192="","",WEEKNUM(C192,21))</x:f>
      </x:c>
      <x:c r="G192" s="43" t="str">
        <x:f>IF(C192="","",CHOOSE(WEEKDAY(C192,2),"Lundi","Mardi","Mercredi","Jeudi","Vendredi","Samedi","Dimanche"))</x:f>
      </x:c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  <x:c r="AA192" s="43"/>
      <x:c r="AB192" s="43"/>
      <x:c r="AC192" s="43"/>
      <x:c r="AD192" s="43"/>
      <x:c r="AE192" s="43"/>
      <x:c r="AF192" s="43"/>
      <x:c r="AG192" s="67"/>
      <x:c r="AH192" s="43"/>
      <x:c r="AI192" s="43"/>
    </x:row>
    <x:row r="193">
      <x:c r="A193" s="43"/>
      <x:c r="B193" s="43"/>
      <x:c r="C193" s="43"/>
      <x:c r="D193" s="43" t="str">
        <x:f>IF(C193="","",YEAR(C193))</x:f>
      </x:c>
      <x:c r="E193" s="43" t="str">
        <x:f>IF(C193="","",MONTH(C193))</x:f>
      </x:c>
      <x:c r="F193" s="43" t="str">
        <x:f>IF(C193="","",WEEKNUM(C193,21))</x:f>
      </x:c>
      <x:c r="G193" s="43" t="str">
        <x:f>IF(C193="","",CHOOSE(WEEKDAY(C193,2),"Lundi","Mardi","Mercredi","Jeudi","Vendredi","Samedi","Dimanche"))</x:f>
      </x:c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  <x:c r="AA193" s="43"/>
      <x:c r="AB193" s="43"/>
      <x:c r="AC193" s="43"/>
      <x:c r="AD193" s="43"/>
      <x:c r="AE193" s="43"/>
      <x:c r="AF193" s="43"/>
      <x:c r="AG193" s="67"/>
      <x:c r="AH193" s="43"/>
      <x:c r="AI193" s="43"/>
    </x:row>
    <x:row r="194">
      <x:c r="A194" s="43"/>
      <x:c r="B194" s="43"/>
      <x:c r="C194" s="43"/>
      <x:c r="D194" s="43" t="str">
        <x:f>IF(C194="","",YEAR(C194))</x:f>
      </x:c>
      <x:c r="E194" s="43" t="str">
        <x:f>IF(C194="","",MONTH(C194))</x:f>
      </x:c>
      <x:c r="F194" s="43" t="str">
        <x:f>IF(C194="","",WEEKNUM(C194,21))</x:f>
      </x:c>
      <x:c r="G194" s="43" t="str">
        <x:f>IF(C194="","",CHOOSE(WEEKDAY(C194,2),"Lundi","Mardi","Mercredi","Jeudi","Vendredi","Samedi","Dimanche"))</x:f>
      </x:c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  <x:c r="AA194" s="43"/>
      <x:c r="AB194" s="43"/>
      <x:c r="AC194" s="43"/>
      <x:c r="AD194" s="43"/>
      <x:c r="AE194" s="43"/>
      <x:c r="AF194" s="43"/>
      <x:c r="AG194" s="67"/>
      <x:c r="AH194" s="43"/>
      <x:c r="AI194" s="43"/>
    </x:row>
    <x:row r="195">
      <x:c r="A195" s="43"/>
      <x:c r="B195" s="43"/>
      <x:c r="C195" s="43"/>
      <x:c r="D195" s="43" t="str">
        <x:f>IF(C195="","",YEAR(C195))</x:f>
      </x:c>
      <x:c r="E195" s="43" t="str">
        <x:f>IF(C195="","",MONTH(C195))</x:f>
      </x:c>
      <x:c r="F195" s="43" t="str">
        <x:f>IF(C195="","",WEEKNUM(C195,21))</x:f>
      </x:c>
      <x:c r="G195" s="43" t="str">
        <x:f>IF(C195="","",CHOOSE(WEEKDAY(C195,2),"Lundi","Mardi","Mercredi","Jeudi","Vendredi","Samedi","Dimanche"))</x:f>
      </x:c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  <x:c r="AA195" s="43"/>
      <x:c r="AB195" s="43"/>
      <x:c r="AC195" s="43"/>
      <x:c r="AD195" s="43"/>
      <x:c r="AE195" s="43"/>
      <x:c r="AF195" s="43"/>
      <x:c r="AG195" s="67"/>
      <x:c r="AH195" s="43"/>
      <x:c r="AI195" s="43"/>
    </x:row>
    <x:row r="196">
      <x:c r="A196" s="43"/>
      <x:c r="B196" s="43"/>
      <x:c r="C196" s="43"/>
      <x:c r="D196" s="43" t="str">
        <x:f>IF(C196="","",YEAR(C196))</x:f>
      </x:c>
      <x:c r="E196" s="43" t="str">
        <x:f>IF(C196="","",MONTH(C196))</x:f>
      </x:c>
      <x:c r="F196" s="43" t="str">
        <x:f>IF(C196="","",WEEKNUM(C196,21))</x:f>
      </x:c>
      <x:c r="G196" s="43" t="str">
        <x:f>IF(C196="","",CHOOSE(WEEKDAY(C196,2),"Lundi","Mardi","Mercredi","Jeudi","Vendredi","Samedi","Dimanche"))</x:f>
      </x:c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  <x:c r="AA196" s="43"/>
      <x:c r="AB196" s="43"/>
      <x:c r="AC196" s="43"/>
      <x:c r="AD196" s="43"/>
      <x:c r="AE196" s="43"/>
      <x:c r="AF196" s="43"/>
      <x:c r="AG196" s="67"/>
      <x:c r="AH196" s="43"/>
      <x:c r="AI196" s="43"/>
    </x:row>
    <x:row r="197">
      <x:c r="A197" s="43"/>
      <x:c r="B197" s="43"/>
      <x:c r="C197" s="43"/>
      <x:c r="D197" s="43" t="str">
        <x:f>IF(C197="","",YEAR(C197))</x:f>
      </x:c>
      <x:c r="E197" s="43" t="str">
        <x:f>IF(C197="","",MONTH(C197))</x:f>
      </x:c>
      <x:c r="F197" s="43" t="str">
        <x:f>IF(C197="","",WEEKNUM(C197,21))</x:f>
      </x:c>
      <x:c r="G197" s="43" t="str">
        <x:f>IF(C197="","",CHOOSE(WEEKDAY(C197,2),"Lundi","Mardi","Mercredi","Jeudi","Vendredi","Samedi","Dimanche"))</x:f>
      </x:c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  <x:c r="AA197" s="43"/>
      <x:c r="AB197" s="43"/>
      <x:c r="AC197" s="43"/>
      <x:c r="AD197" s="43"/>
      <x:c r="AE197" s="43"/>
      <x:c r="AF197" s="43"/>
      <x:c r="AG197" s="67"/>
      <x:c r="AH197" s="43"/>
      <x:c r="AI197" s="43"/>
    </x:row>
    <x:row r="198">
      <x:c r="A198" s="43"/>
      <x:c r="B198" s="43"/>
      <x:c r="C198" s="43"/>
      <x:c r="D198" s="43" t="str">
        <x:f>IF(C198="","",YEAR(C198))</x:f>
      </x:c>
      <x:c r="E198" s="43" t="str">
        <x:f>IF(C198="","",MONTH(C198))</x:f>
      </x:c>
      <x:c r="F198" s="43" t="str">
        <x:f>IF(C198="","",WEEKNUM(C198,21))</x:f>
      </x:c>
      <x:c r="G198" s="43" t="str">
        <x:f>IF(C198="","",CHOOSE(WEEKDAY(C198,2),"Lundi","Mardi","Mercredi","Jeudi","Vendredi","Samedi","Dimanche"))</x:f>
      </x:c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  <x:c r="AA198" s="43"/>
      <x:c r="AB198" s="43"/>
      <x:c r="AC198" s="43"/>
      <x:c r="AD198" s="43"/>
      <x:c r="AE198" s="43"/>
      <x:c r="AF198" s="43"/>
      <x:c r="AG198" s="67"/>
      <x:c r="AH198" s="43"/>
      <x:c r="AI198" s="43"/>
    </x:row>
    <x:row r="199">
      <x:c r="A199" s="43"/>
      <x:c r="B199" s="43"/>
      <x:c r="C199" s="43"/>
      <x:c r="D199" s="43" t="str">
        <x:f>IF(C199="","",YEAR(C199))</x:f>
      </x:c>
      <x:c r="E199" s="43" t="str">
        <x:f>IF(C199="","",MONTH(C199))</x:f>
      </x:c>
      <x:c r="F199" s="43" t="str">
        <x:f>IF(C199="","",WEEKNUM(C199,21))</x:f>
      </x:c>
      <x:c r="G199" s="43" t="str">
        <x:f>IF(C199="","",CHOOSE(WEEKDAY(C199,2),"Lundi","Mardi","Mercredi","Jeudi","Vendredi","Samedi","Dimanche"))</x:f>
      </x:c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  <x:c r="AA199" s="43"/>
      <x:c r="AB199" s="43"/>
      <x:c r="AC199" s="43"/>
      <x:c r="AD199" s="43"/>
      <x:c r="AE199" s="43"/>
      <x:c r="AF199" s="43"/>
      <x:c r="AG199" s="67"/>
      <x:c r="AH199" s="43"/>
      <x:c r="AI199" s="43"/>
    </x:row>
    <x:row r="200">
      <x:c r="A200" s="43"/>
      <x:c r="B200" s="43"/>
      <x:c r="C200" s="43"/>
      <x:c r="D200" s="43" t="str">
        <x:f>IF(C200="","",YEAR(C200))</x:f>
      </x:c>
      <x:c r="E200" s="43" t="str">
        <x:f>IF(C200="","",MONTH(C200))</x:f>
      </x:c>
      <x:c r="F200" s="43" t="str">
        <x:f>IF(C200="","",WEEKNUM(C200,21))</x:f>
      </x:c>
      <x:c r="G200" s="43" t="str">
        <x:f>IF(C200="","",CHOOSE(WEEKDAY(C200,2),"Lundi","Mardi","Mercredi","Jeudi","Vendredi","Samedi","Dimanche"))</x:f>
      </x:c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  <x:c r="AA200" s="43"/>
      <x:c r="AB200" s="43"/>
      <x:c r="AC200" s="43"/>
      <x:c r="AD200" s="43"/>
      <x:c r="AE200" s="43"/>
      <x:c r="AF200" s="43"/>
      <x:c r="AG200" s="67"/>
      <x:c r="AH200" s="43"/>
      <x:c r="AI200" s="43"/>
    </x:row>
    <x:row r="201">
      <x:c r="A201" s="43"/>
      <x:c r="B201" s="43"/>
      <x:c r="C201" s="43"/>
      <x:c r="D201" s="43" t="str">
        <x:f>IF(C201="","",YEAR(C201))</x:f>
      </x:c>
      <x:c r="E201" s="43" t="str">
        <x:f>IF(C201="","",MONTH(C201))</x:f>
      </x:c>
      <x:c r="F201" s="43" t="str">
        <x:f>IF(C201="","",WEEKNUM(C201,21))</x:f>
      </x:c>
      <x:c r="G201" s="43" t="str">
        <x:f>IF(C201="","",CHOOSE(WEEKDAY(C201,2),"Lundi","Mardi","Mercredi","Jeudi","Vendredi","Samedi","Dimanche"))</x:f>
      </x:c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  <x:c r="AA201" s="43"/>
      <x:c r="AB201" s="43"/>
      <x:c r="AC201" s="43"/>
      <x:c r="AD201" s="43"/>
      <x:c r="AE201" s="43"/>
      <x:c r="AF201" s="43"/>
      <x:c r="AG201" s="67"/>
      <x:c r="AH201" s="43"/>
      <x:c r="AI201" s="43"/>
    </x:row>
    <x:row r="202">
      <x:c r="A202" s="43"/>
      <x:c r="B202" s="43"/>
      <x:c r="C202" s="43"/>
      <x:c r="D202" s="43" t="str">
        <x:f>IF(C202="","",YEAR(C202))</x:f>
      </x:c>
      <x:c r="E202" s="43" t="str">
        <x:f>IF(C202="","",MONTH(C202))</x:f>
      </x:c>
      <x:c r="F202" s="43" t="str">
        <x:f>IF(C202="","",WEEKNUM(C202,21))</x:f>
      </x:c>
      <x:c r="G202" s="43" t="str">
        <x:f>IF(C202="","",CHOOSE(WEEKDAY(C202,2),"Lundi","Mardi","Mercredi","Jeudi","Vendredi","Samedi","Dimanche"))</x:f>
      </x:c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  <x:c r="AA202" s="43"/>
      <x:c r="AB202" s="43"/>
      <x:c r="AC202" s="43"/>
      <x:c r="AD202" s="43"/>
      <x:c r="AE202" s="43"/>
      <x:c r="AF202" s="43"/>
      <x:c r="AG202" s="67"/>
      <x:c r="AH202" s="43"/>
      <x:c r="AI202" s="43"/>
    </x:row>
    <x:row r="203">
      <x:c r="A203" s="43"/>
      <x:c r="B203" s="43"/>
      <x:c r="C203" s="43"/>
      <x:c r="D203" s="43" t="str">
        <x:f>IF(C203="","",YEAR(C203))</x:f>
      </x:c>
      <x:c r="E203" s="43" t="str">
        <x:f>IF(C203="","",MONTH(C203))</x:f>
      </x:c>
      <x:c r="F203" s="43" t="str">
        <x:f>IF(C203="","",WEEKNUM(C203,21))</x:f>
      </x:c>
      <x:c r="G203" s="43" t="str">
        <x:f>IF(C203="","",CHOOSE(WEEKDAY(C203,2),"Lundi","Mardi","Mercredi","Jeudi","Vendredi","Samedi","Dimanche"))</x:f>
      </x:c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  <x:c r="AA203" s="43"/>
      <x:c r="AB203" s="43"/>
      <x:c r="AC203" s="43"/>
      <x:c r="AD203" s="43"/>
      <x:c r="AE203" s="43"/>
      <x:c r="AF203" s="43"/>
      <x:c r="AG203" s="67"/>
      <x:c r="AH203" s="43"/>
      <x:c r="AI203" s="43"/>
    </x:row>
    <x:row r="204">
      <x:c r="A204" s="43"/>
      <x:c r="B204" s="43"/>
      <x:c r="C204" s="43"/>
      <x:c r="D204" s="43" t="str">
        <x:f>IF(C204="","",YEAR(C204))</x:f>
      </x:c>
      <x:c r="E204" s="43" t="str">
        <x:f>IF(C204="","",MONTH(C204))</x:f>
      </x:c>
      <x:c r="F204" s="43" t="str">
        <x:f>IF(C204="","",WEEKNUM(C204,21))</x:f>
      </x:c>
      <x:c r="G204" s="43" t="str">
        <x:f>IF(C204="","",CHOOSE(WEEKDAY(C204,2),"Lundi","Mardi","Mercredi","Jeudi","Vendredi","Samedi","Dimanche"))</x:f>
      </x:c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  <x:c r="AA204" s="43"/>
      <x:c r="AB204" s="43"/>
      <x:c r="AC204" s="43"/>
      <x:c r="AD204" s="43"/>
      <x:c r="AE204" s="43"/>
      <x:c r="AF204" s="43"/>
      <x:c r="AG204" s="67"/>
      <x:c r="AH204" s="43"/>
      <x:c r="AI204" s="43"/>
    </x:row>
    <x:row r="205">
      <x:c r="A205" s="43"/>
      <x:c r="B205" s="43"/>
      <x:c r="C205" s="43"/>
      <x:c r="D205" s="43" t="str">
        <x:f>IF(C205="","",YEAR(C205))</x:f>
      </x:c>
      <x:c r="E205" s="43" t="str">
        <x:f>IF(C205="","",MONTH(C205))</x:f>
      </x:c>
      <x:c r="F205" s="43" t="str">
        <x:f>IF(C205="","",WEEKNUM(C205,21))</x:f>
      </x:c>
      <x:c r="G205" s="43" t="str">
        <x:f>IF(C205="","",CHOOSE(WEEKDAY(C205,2),"Lundi","Mardi","Mercredi","Jeudi","Vendredi","Samedi","Dimanche"))</x:f>
      </x:c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  <x:c r="AA205" s="43"/>
      <x:c r="AB205" s="43"/>
      <x:c r="AC205" s="43"/>
      <x:c r="AD205" s="43"/>
      <x:c r="AE205" s="43"/>
      <x:c r="AF205" s="43"/>
      <x:c r="AG205" s="67"/>
      <x:c r="AH205" s="43"/>
      <x:c r="AI205" s="43"/>
    </x:row>
    <x:row r="206">
      <x:c r="A206" s="43"/>
      <x:c r="B206" s="43"/>
      <x:c r="C206" s="43"/>
      <x:c r="D206" s="43" t="str">
        <x:f>IF(C206="","",YEAR(C206))</x:f>
      </x:c>
      <x:c r="E206" s="43" t="str">
        <x:f>IF(C206="","",MONTH(C206))</x:f>
      </x:c>
      <x:c r="F206" s="43" t="str">
        <x:f>IF(C206="","",WEEKNUM(C206,21))</x:f>
      </x:c>
      <x:c r="G206" s="43" t="str">
        <x:f>IF(C206="","",CHOOSE(WEEKDAY(C206,2),"Lundi","Mardi","Mercredi","Jeudi","Vendredi","Samedi","Dimanche"))</x:f>
      </x:c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  <x:c r="AA206" s="43"/>
      <x:c r="AB206" s="43"/>
      <x:c r="AC206" s="43"/>
      <x:c r="AD206" s="43"/>
      <x:c r="AE206" s="43"/>
      <x:c r="AF206" s="43"/>
      <x:c r="AG206" s="67"/>
      <x:c r="AH206" s="43"/>
      <x:c r="AI206" s="43"/>
    </x:row>
    <x:row r="207">
      <x:c r="A207" s="43"/>
      <x:c r="B207" s="43"/>
      <x:c r="C207" s="43"/>
      <x:c r="D207" s="43" t="str">
        <x:f>IF(C207="","",YEAR(C207))</x:f>
      </x:c>
      <x:c r="E207" s="43" t="str">
        <x:f>IF(C207="","",MONTH(C207))</x:f>
      </x:c>
      <x:c r="F207" s="43" t="str">
        <x:f>IF(C207="","",WEEKNUM(C207,21))</x:f>
      </x:c>
      <x:c r="G207" s="43" t="str">
        <x:f>IF(C207="","",CHOOSE(WEEKDAY(C207,2),"Lundi","Mardi","Mercredi","Jeudi","Vendredi","Samedi","Dimanche"))</x:f>
      </x:c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  <x:c r="AA207" s="43"/>
      <x:c r="AB207" s="43"/>
      <x:c r="AC207" s="43"/>
      <x:c r="AD207" s="43"/>
      <x:c r="AE207" s="43"/>
      <x:c r="AF207" s="43"/>
      <x:c r="AG207" s="67"/>
      <x:c r="AH207" s="43"/>
      <x:c r="AI207" s="43"/>
    </x:row>
    <x:row r="208">
      <x:c r="A208" s="43"/>
      <x:c r="B208" s="43"/>
      <x:c r="C208" s="43"/>
      <x:c r="D208" s="43" t="str">
        <x:f>IF(C208="","",YEAR(C208))</x:f>
      </x:c>
      <x:c r="E208" s="43" t="str">
        <x:f>IF(C208="","",MONTH(C208))</x:f>
      </x:c>
      <x:c r="F208" s="43" t="str">
        <x:f>IF(C208="","",WEEKNUM(C208,21))</x:f>
      </x:c>
      <x:c r="G208" s="43" t="str">
        <x:f>IF(C208="","",CHOOSE(WEEKDAY(C208,2),"Lundi","Mardi","Mercredi","Jeudi","Vendredi","Samedi","Dimanche"))</x:f>
      </x:c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  <x:c r="AA208" s="43"/>
      <x:c r="AB208" s="43"/>
      <x:c r="AC208" s="43"/>
      <x:c r="AD208" s="43"/>
      <x:c r="AE208" s="43"/>
      <x:c r="AF208" s="43"/>
      <x:c r="AG208" s="67"/>
      <x:c r="AH208" s="43"/>
      <x:c r="AI208" s="43"/>
    </x:row>
    <x:row r="209">
      <x:c r="A209" s="43"/>
      <x:c r="B209" s="43"/>
      <x:c r="C209" s="43"/>
      <x:c r="D209" s="43" t="str">
        <x:f>IF(C209="","",YEAR(C209))</x:f>
      </x:c>
      <x:c r="E209" s="43" t="str">
        <x:f>IF(C209="","",MONTH(C209))</x:f>
      </x:c>
      <x:c r="F209" s="43" t="str">
        <x:f>IF(C209="","",WEEKNUM(C209,21))</x:f>
      </x:c>
      <x:c r="G209" s="43" t="str">
        <x:f>IF(C209="","",CHOOSE(WEEKDAY(C209,2),"Lundi","Mardi","Mercredi","Jeudi","Vendredi","Samedi","Dimanche"))</x:f>
      </x:c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  <x:c r="AA209" s="43"/>
      <x:c r="AB209" s="43"/>
      <x:c r="AC209" s="43"/>
      <x:c r="AD209" s="43"/>
      <x:c r="AE209" s="43"/>
      <x:c r="AF209" s="43"/>
      <x:c r="AG209" s="67"/>
      <x:c r="AH209" s="43"/>
      <x:c r="AI209" s="43"/>
    </x:row>
    <x:row r="210">
      <x:c r="A210" s="43"/>
      <x:c r="B210" s="43"/>
      <x:c r="C210" s="43"/>
      <x:c r="D210" s="43" t="str">
        <x:f>IF(C210="","",YEAR(C210))</x:f>
      </x:c>
      <x:c r="E210" s="43" t="str">
        <x:f>IF(C210="","",MONTH(C210))</x:f>
      </x:c>
      <x:c r="F210" s="43" t="str">
        <x:f>IF(C210="","",WEEKNUM(C210,21))</x:f>
      </x:c>
      <x:c r="G210" s="43" t="str">
        <x:f>IF(C210="","",CHOOSE(WEEKDAY(C210,2),"Lundi","Mardi","Mercredi","Jeudi","Vendredi","Samedi","Dimanche"))</x:f>
      </x:c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  <x:c r="AA210" s="43"/>
      <x:c r="AB210" s="43"/>
      <x:c r="AC210" s="43"/>
      <x:c r="AD210" s="43"/>
      <x:c r="AE210" s="43"/>
      <x:c r="AF210" s="43"/>
      <x:c r="AG210" s="67"/>
      <x:c r="AH210" s="43"/>
      <x:c r="AI210" s="43"/>
    </x:row>
    <x:row r="211">
      <x:c r="A211" s="43"/>
      <x:c r="B211" s="43"/>
      <x:c r="C211" s="43"/>
      <x:c r="D211" s="43" t="str">
        <x:f>IF(C211="","",YEAR(C211))</x:f>
      </x:c>
      <x:c r="E211" s="43" t="str">
        <x:f>IF(C211="","",MONTH(C211))</x:f>
      </x:c>
      <x:c r="F211" s="43" t="str">
        <x:f>IF(C211="","",WEEKNUM(C211,21))</x:f>
      </x:c>
      <x:c r="G211" s="43" t="str">
        <x:f>IF(C211="","",CHOOSE(WEEKDAY(C211,2),"Lundi","Mardi","Mercredi","Jeudi","Vendredi","Samedi","Dimanche"))</x:f>
      </x:c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  <x:c r="AA211" s="43"/>
      <x:c r="AB211" s="43"/>
      <x:c r="AC211" s="43"/>
      <x:c r="AD211" s="43"/>
      <x:c r="AE211" s="43"/>
      <x:c r="AF211" s="43"/>
      <x:c r="AG211" s="67"/>
      <x:c r="AH211" s="43"/>
      <x:c r="AI211" s="43"/>
    </x:row>
    <x:row r="212">
      <x:c r="A212" s="43"/>
      <x:c r="B212" s="43"/>
      <x:c r="C212" s="43"/>
      <x:c r="D212" s="43" t="str">
        <x:f>IF(C212="","",YEAR(C212))</x:f>
      </x:c>
      <x:c r="E212" s="43" t="str">
        <x:f>IF(C212="","",MONTH(C212))</x:f>
      </x:c>
      <x:c r="F212" s="43" t="str">
        <x:f>IF(C212="","",WEEKNUM(C212,21))</x:f>
      </x:c>
      <x:c r="G212" s="43" t="str">
        <x:f>IF(C212="","",CHOOSE(WEEKDAY(C212,2),"Lundi","Mardi","Mercredi","Jeudi","Vendredi","Samedi","Dimanche"))</x:f>
      </x:c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  <x:c r="AA212" s="43"/>
      <x:c r="AB212" s="43"/>
      <x:c r="AC212" s="43"/>
      <x:c r="AD212" s="43"/>
      <x:c r="AE212" s="43"/>
      <x:c r="AF212" s="43"/>
      <x:c r="AG212" s="67"/>
      <x:c r="AH212" s="43"/>
      <x:c r="AI212" s="43"/>
    </x:row>
    <x:row r="213">
      <x:c r="A213" s="43"/>
      <x:c r="B213" s="43"/>
      <x:c r="C213" s="43"/>
      <x:c r="D213" s="43" t="str">
        <x:f>IF(C213="","",YEAR(C213))</x:f>
      </x:c>
      <x:c r="E213" s="43" t="str">
        <x:f>IF(C213="","",MONTH(C213))</x:f>
      </x:c>
      <x:c r="F213" s="43" t="str">
        <x:f>IF(C213="","",WEEKNUM(C213,21))</x:f>
      </x:c>
      <x:c r="G213" s="43" t="str">
        <x:f>IF(C213="","",CHOOSE(WEEKDAY(C213,2),"Lundi","Mardi","Mercredi","Jeudi","Vendredi","Samedi","Dimanche"))</x:f>
      </x:c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  <x:c r="AA213" s="43"/>
      <x:c r="AB213" s="43"/>
      <x:c r="AC213" s="43"/>
      <x:c r="AD213" s="43"/>
      <x:c r="AE213" s="43"/>
      <x:c r="AF213" s="43"/>
      <x:c r="AG213" s="67"/>
      <x:c r="AH213" s="43"/>
      <x:c r="AI213" s="43"/>
    </x:row>
    <x:row r="214">
      <x:c r="A214" s="43"/>
      <x:c r="B214" s="43"/>
      <x:c r="C214" s="43"/>
      <x:c r="D214" s="43" t="str">
        <x:f>IF(C214="","",YEAR(C214))</x:f>
      </x:c>
      <x:c r="E214" s="43" t="str">
        <x:f>IF(C214="","",MONTH(C214))</x:f>
      </x:c>
      <x:c r="F214" s="43" t="str">
        <x:f>IF(C214="","",WEEKNUM(C214,21))</x:f>
      </x:c>
      <x:c r="G214" s="43" t="str">
        <x:f>IF(C214="","",CHOOSE(WEEKDAY(C214,2),"Lundi","Mardi","Mercredi","Jeudi","Vendredi","Samedi","Dimanche"))</x:f>
      </x:c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  <x:c r="AA214" s="43"/>
      <x:c r="AB214" s="43"/>
      <x:c r="AC214" s="43"/>
      <x:c r="AD214" s="43"/>
      <x:c r="AE214" s="43"/>
      <x:c r="AF214" s="43"/>
      <x:c r="AG214" s="67"/>
      <x:c r="AH214" s="43"/>
      <x:c r="AI214" s="43"/>
    </x:row>
    <x:row r="215">
      <x:c r="A215" s="43"/>
      <x:c r="B215" s="43"/>
      <x:c r="C215" s="43"/>
      <x:c r="D215" s="43" t="str">
        <x:f>IF(C215="","",YEAR(C215))</x:f>
      </x:c>
      <x:c r="E215" s="43" t="str">
        <x:f>IF(C215="","",MONTH(C215))</x:f>
      </x:c>
      <x:c r="F215" s="43" t="str">
        <x:f>IF(C215="","",WEEKNUM(C215,21))</x:f>
      </x:c>
      <x:c r="G215" s="43" t="str">
        <x:f>IF(C215="","",CHOOSE(WEEKDAY(C215,2),"Lundi","Mardi","Mercredi","Jeudi","Vendredi","Samedi","Dimanche"))</x:f>
      </x:c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  <x:c r="AA215" s="43"/>
      <x:c r="AB215" s="43"/>
      <x:c r="AC215" s="43"/>
      <x:c r="AD215" s="43"/>
      <x:c r="AE215" s="43"/>
      <x:c r="AF215" s="43"/>
      <x:c r="AG215" s="67"/>
      <x:c r="AH215" s="43"/>
      <x:c r="AI215" s="43"/>
    </x:row>
    <x:row r="216">
      <x:c r="A216" s="43"/>
      <x:c r="B216" s="43"/>
      <x:c r="C216" s="43"/>
      <x:c r="D216" s="43" t="str">
        <x:f>IF(C216="","",YEAR(C216))</x:f>
      </x:c>
      <x:c r="E216" s="43" t="str">
        <x:f>IF(C216="","",MONTH(C216))</x:f>
      </x:c>
      <x:c r="F216" s="43" t="str">
        <x:f>IF(C216="","",WEEKNUM(C216,21))</x:f>
      </x:c>
      <x:c r="G216" s="43" t="str">
        <x:f>IF(C216="","",CHOOSE(WEEKDAY(C216,2),"Lundi","Mardi","Mercredi","Jeudi","Vendredi","Samedi","Dimanche"))</x:f>
      </x:c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  <x:c r="AA216" s="43"/>
      <x:c r="AB216" s="43"/>
      <x:c r="AC216" s="43"/>
      <x:c r="AD216" s="43"/>
      <x:c r="AE216" s="43"/>
      <x:c r="AF216" s="43"/>
      <x:c r="AG216" s="67"/>
      <x:c r="AH216" s="43"/>
      <x:c r="AI216" s="43"/>
    </x:row>
    <x:row r="217">
      <x:c r="A217" s="43"/>
      <x:c r="B217" s="43"/>
      <x:c r="C217" s="43"/>
      <x:c r="D217" s="43" t="str">
        <x:f>IF(C217="","",YEAR(C217))</x:f>
      </x:c>
      <x:c r="E217" s="43" t="str">
        <x:f>IF(C217="","",MONTH(C217))</x:f>
      </x:c>
      <x:c r="F217" s="43" t="str">
        <x:f>IF(C217="","",WEEKNUM(C217,21))</x:f>
      </x:c>
      <x:c r="G217" s="43" t="str">
        <x:f>IF(C217="","",CHOOSE(WEEKDAY(C217,2),"Lundi","Mardi","Mercredi","Jeudi","Vendredi","Samedi","Dimanche"))</x:f>
      </x:c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  <x:c r="AA217" s="43"/>
      <x:c r="AB217" s="43"/>
      <x:c r="AC217" s="43"/>
      <x:c r="AD217" s="43"/>
      <x:c r="AE217" s="43"/>
      <x:c r="AF217" s="43"/>
      <x:c r="AG217" s="67"/>
      <x:c r="AH217" s="43"/>
      <x:c r="AI217" s="43"/>
    </x:row>
    <x:row r="218">
      <x:c r="A218" s="43"/>
      <x:c r="B218" s="43"/>
      <x:c r="C218" s="43"/>
      <x:c r="D218" s="43" t="str">
        <x:f>IF(C218="","",YEAR(C218))</x:f>
      </x:c>
      <x:c r="E218" s="43" t="str">
        <x:f>IF(C218="","",MONTH(C218))</x:f>
      </x:c>
      <x:c r="F218" s="43" t="str">
        <x:f>IF(C218="","",WEEKNUM(C218,21))</x:f>
      </x:c>
      <x:c r="G218" s="43" t="str">
        <x:f>IF(C218="","",CHOOSE(WEEKDAY(C218,2),"Lundi","Mardi","Mercredi","Jeudi","Vendredi","Samedi","Dimanche"))</x:f>
      </x:c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  <x:c r="AA218" s="43"/>
      <x:c r="AB218" s="43"/>
      <x:c r="AC218" s="43"/>
      <x:c r="AD218" s="43"/>
      <x:c r="AE218" s="43"/>
      <x:c r="AF218" s="43"/>
      <x:c r="AG218" s="67"/>
      <x:c r="AH218" s="43"/>
      <x:c r="AI218" s="43"/>
    </x:row>
    <x:row r="219">
      <x:c r="A219" s="43"/>
      <x:c r="B219" s="43"/>
      <x:c r="C219" s="43"/>
      <x:c r="D219" s="43" t="str">
        <x:f>IF(C219="","",YEAR(C219))</x:f>
      </x:c>
      <x:c r="E219" s="43" t="str">
        <x:f>IF(C219="","",MONTH(C219))</x:f>
      </x:c>
      <x:c r="F219" s="43" t="str">
        <x:f>IF(C219="","",WEEKNUM(C219,21))</x:f>
      </x:c>
      <x:c r="G219" s="43" t="str">
        <x:f>IF(C219="","",CHOOSE(WEEKDAY(C219,2),"Lundi","Mardi","Mercredi","Jeudi","Vendredi","Samedi","Dimanche"))</x:f>
      </x:c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  <x:c r="AA219" s="43"/>
      <x:c r="AB219" s="43"/>
      <x:c r="AC219" s="43"/>
      <x:c r="AD219" s="43"/>
      <x:c r="AE219" s="43"/>
      <x:c r="AF219" s="43"/>
      <x:c r="AG219" s="67"/>
      <x:c r="AH219" s="43"/>
      <x:c r="AI219" s="43"/>
    </x:row>
    <x:row r="220">
      <x:c r="A220" s="43"/>
      <x:c r="B220" s="43"/>
      <x:c r="C220" s="43"/>
      <x:c r="D220" s="43" t="str">
        <x:f>IF(C220="","",YEAR(C220))</x:f>
      </x:c>
      <x:c r="E220" s="43" t="str">
        <x:f>IF(C220="","",MONTH(C220))</x:f>
      </x:c>
      <x:c r="F220" s="43" t="str">
        <x:f>IF(C220="","",WEEKNUM(C220,21))</x:f>
      </x:c>
      <x:c r="G220" s="43" t="str">
        <x:f>IF(C220="","",CHOOSE(WEEKDAY(C220,2),"Lundi","Mardi","Mercredi","Jeudi","Vendredi","Samedi","Dimanche"))</x:f>
      </x:c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  <x:c r="AA220" s="43"/>
      <x:c r="AB220" s="43"/>
      <x:c r="AC220" s="43"/>
      <x:c r="AD220" s="43"/>
      <x:c r="AE220" s="43"/>
      <x:c r="AF220" s="43"/>
      <x:c r="AG220" s="67"/>
      <x:c r="AH220" s="43"/>
      <x:c r="AI220" s="43"/>
    </x:row>
    <x:row r="221">
      <x:c r="A221" s="43"/>
      <x:c r="B221" s="43"/>
      <x:c r="C221" s="43"/>
      <x:c r="D221" s="43" t="str">
        <x:f>IF(C221="","",YEAR(C221))</x:f>
      </x:c>
      <x:c r="E221" s="43" t="str">
        <x:f>IF(C221="","",MONTH(C221))</x:f>
      </x:c>
      <x:c r="F221" s="43" t="str">
        <x:f>IF(C221="","",WEEKNUM(C221,21))</x:f>
      </x:c>
      <x:c r="G221" s="43" t="str">
        <x:f>IF(C221="","",CHOOSE(WEEKDAY(C221,2),"Lundi","Mardi","Mercredi","Jeudi","Vendredi","Samedi","Dimanche"))</x:f>
      </x:c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  <x:c r="AA221" s="43"/>
      <x:c r="AB221" s="43"/>
      <x:c r="AC221" s="43"/>
      <x:c r="AD221" s="43"/>
      <x:c r="AE221" s="43"/>
      <x:c r="AF221" s="43"/>
      <x:c r="AG221" s="67"/>
      <x:c r="AH221" s="43"/>
      <x:c r="AI221" s="43"/>
    </x:row>
    <x:row r="222">
      <x:c r="A222" s="43"/>
      <x:c r="B222" s="43"/>
      <x:c r="C222" s="43"/>
      <x:c r="D222" s="43" t="str">
        <x:f>IF(C222="","",YEAR(C222))</x:f>
      </x:c>
      <x:c r="E222" s="43" t="str">
        <x:f>IF(C222="","",MONTH(C222))</x:f>
      </x:c>
      <x:c r="F222" s="43" t="str">
        <x:f>IF(C222="","",WEEKNUM(C222,21))</x:f>
      </x:c>
      <x:c r="G222" s="43" t="str">
        <x:f>IF(C222="","",CHOOSE(WEEKDAY(C222,2),"Lundi","Mardi","Mercredi","Jeudi","Vendredi","Samedi","Dimanche"))</x:f>
      </x:c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  <x:c r="AA222" s="43"/>
      <x:c r="AB222" s="43"/>
      <x:c r="AC222" s="43"/>
      <x:c r="AD222" s="43"/>
      <x:c r="AE222" s="43"/>
      <x:c r="AF222" s="43"/>
      <x:c r="AG222" s="67"/>
      <x:c r="AH222" s="43"/>
      <x:c r="AI222" s="43"/>
    </x:row>
    <x:row r="223">
      <x:c r="A223" s="43"/>
      <x:c r="B223" s="43"/>
      <x:c r="C223" s="43"/>
      <x:c r="D223" s="43" t="str">
        <x:f>IF(C223="","",YEAR(C223))</x:f>
      </x:c>
      <x:c r="E223" s="43" t="str">
        <x:f>IF(C223="","",MONTH(C223))</x:f>
      </x:c>
      <x:c r="F223" s="43" t="str">
        <x:f>IF(C223="","",WEEKNUM(C223,21))</x:f>
      </x:c>
      <x:c r="G223" s="43" t="str">
        <x:f>IF(C223="","",CHOOSE(WEEKDAY(C223,2),"Lundi","Mardi","Mercredi","Jeudi","Vendredi","Samedi","Dimanche"))</x:f>
      </x:c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  <x:c r="AA223" s="43"/>
      <x:c r="AB223" s="43"/>
      <x:c r="AC223" s="43"/>
      <x:c r="AD223" s="43"/>
      <x:c r="AE223" s="43"/>
      <x:c r="AF223" s="43"/>
      <x:c r="AG223" s="67"/>
      <x:c r="AH223" s="43"/>
      <x:c r="AI223" s="43"/>
    </x:row>
    <x:row r="224">
      <x:c r="A224" s="43"/>
      <x:c r="B224" s="43"/>
      <x:c r="C224" s="43"/>
      <x:c r="D224" s="43" t="str">
        <x:f>IF(C224="","",YEAR(C224))</x:f>
      </x:c>
      <x:c r="E224" s="43" t="str">
        <x:f>IF(C224="","",MONTH(C224))</x:f>
      </x:c>
      <x:c r="F224" s="43" t="str">
        <x:f>IF(C224="","",WEEKNUM(C224,21))</x:f>
      </x:c>
      <x:c r="G224" s="43" t="str">
        <x:f>IF(C224="","",CHOOSE(WEEKDAY(C224,2),"Lundi","Mardi","Mercredi","Jeudi","Vendredi","Samedi","Dimanche"))</x:f>
      </x:c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  <x:c r="AA224" s="43"/>
      <x:c r="AB224" s="43"/>
      <x:c r="AC224" s="43"/>
      <x:c r="AD224" s="43"/>
      <x:c r="AE224" s="43"/>
      <x:c r="AF224" s="43"/>
      <x:c r="AG224" s="67"/>
      <x:c r="AH224" s="43"/>
      <x:c r="AI224" s="43"/>
    </x:row>
    <x:row r="225">
      <x:c r="A225" s="43"/>
      <x:c r="B225" s="43"/>
      <x:c r="C225" s="43"/>
      <x:c r="D225" s="43" t="str">
        <x:f>IF(C225="","",YEAR(C225))</x:f>
      </x:c>
      <x:c r="E225" s="43" t="str">
        <x:f>IF(C225="","",MONTH(C225))</x:f>
      </x:c>
      <x:c r="F225" s="43" t="str">
        <x:f>IF(C225="","",WEEKNUM(C225,21))</x:f>
      </x:c>
      <x:c r="G225" s="43" t="str">
        <x:f>IF(C225="","",CHOOSE(WEEKDAY(C225,2),"Lundi","Mardi","Mercredi","Jeudi","Vendredi","Samedi","Dimanche"))</x:f>
      </x:c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  <x:c r="AA225" s="43"/>
      <x:c r="AB225" s="43"/>
      <x:c r="AC225" s="43"/>
      <x:c r="AD225" s="43"/>
      <x:c r="AE225" s="43"/>
      <x:c r="AF225" s="43"/>
      <x:c r="AG225" s="67"/>
      <x:c r="AH225" s="43"/>
      <x:c r="AI225" s="43"/>
    </x:row>
    <x:row r="226">
      <x:c r="A226" s="43"/>
      <x:c r="B226" s="43"/>
      <x:c r="C226" s="43"/>
      <x:c r="D226" s="43" t="str">
        <x:f>IF(C226="","",YEAR(C226))</x:f>
      </x:c>
      <x:c r="E226" s="43" t="str">
        <x:f>IF(C226="","",MONTH(C226))</x:f>
      </x:c>
      <x:c r="F226" s="43" t="str">
        <x:f>IF(C226="","",WEEKNUM(C226,21))</x:f>
      </x:c>
      <x:c r="G226" s="43" t="str">
        <x:f>IF(C226="","",CHOOSE(WEEKDAY(C226,2),"Lundi","Mardi","Mercredi","Jeudi","Vendredi","Samedi","Dimanche"))</x:f>
      </x:c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  <x:c r="AA226" s="43"/>
      <x:c r="AB226" s="43"/>
      <x:c r="AC226" s="43"/>
      <x:c r="AD226" s="43"/>
      <x:c r="AE226" s="43"/>
      <x:c r="AF226" s="43"/>
      <x:c r="AG226" s="67"/>
      <x:c r="AH226" s="43"/>
      <x:c r="AI226" s="43"/>
    </x:row>
    <x:row r="227">
      <x:c r="A227" s="43"/>
      <x:c r="B227" s="43"/>
      <x:c r="C227" s="43"/>
      <x:c r="D227" s="43" t="str">
        <x:f>IF(C227="","",YEAR(C227))</x:f>
      </x:c>
      <x:c r="E227" s="43" t="str">
        <x:f>IF(C227="","",MONTH(C227))</x:f>
      </x:c>
      <x:c r="F227" s="43" t="str">
        <x:f>IF(C227="","",WEEKNUM(C227,21))</x:f>
      </x:c>
      <x:c r="G227" s="43" t="str">
        <x:f>IF(C227="","",CHOOSE(WEEKDAY(C227,2),"Lundi","Mardi","Mercredi","Jeudi","Vendredi","Samedi","Dimanche"))</x:f>
      </x:c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  <x:c r="AA227" s="43"/>
      <x:c r="AB227" s="43"/>
      <x:c r="AC227" s="43"/>
      <x:c r="AD227" s="43"/>
      <x:c r="AE227" s="43"/>
      <x:c r="AF227" s="43"/>
      <x:c r="AG227" s="67"/>
      <x:c r="AH227" s="43"/>
      <x:c r="AI227" s="43"/>
    </x:row>
    <x:row r="228">
      <x:c r="A228" s="43"/>
      <x:c r="B228" s="43"/>
      <x:c r="C228" s="43"/>
      <x:c r="D228" s="43" t="str">
        <x:f>IF(C228="","",YEAR(C228))</x:f>
      </x:c>
      <x:c r="E228" s="43" t="str">
        <x:f>IF(C228="","",MONTH(C228))</x:f>
      </x:c>
      <x:c r="F228" s="43" t="str">
        <x:f>IF(C228="","",WEEKNUM(C228,21))</x:f>
      </x:c>
      <x:c r="G228" s="43" t="str">
        <x:f>IF(C228="","",CHOOSE(WEEKDAY(C228,2),"Lundi","Mardi","Mercredi","Jeudi","Vendredi","Samedi","Dimanche"))</x:f>
      </x:c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  <x:c r="AA228" s="43"/>
      <x:c r="AB228" s="43"/>
      <x:c r="AC228" s="43"/>
      <x:c r="AD228" s="43"/>
      <x:c r="AE228" s="43"/>
      <x:c r="AF228" s="43"/>
      <x:c r="AG228" s="67"/>
      <x:c r="AH228" s="43"/>
      <x:c r="AI228" s="43"/>
    </x:row>
    <x:row r="229">
      <x:c r="A229" s="43"/>
      <x:c r="B229" s="43"/>
      <x:c r="C229" s="43"/>
      <x:c r="D229" s="43" t="str">
        <x:f>IF(C229="","",YEAR(C229))</x:f>
      </x:c>
      <x:c r="E229" s="43" t="str">
        <x:f>IF(C229="","",MONTH(C229))</x:f>
      </x:c>
      <x:c r="F229" s="43" t="str">
        <x:f>IF(C229="","",WEEKNUM(C229,21))</x:f>
      </x:c>
      <x:c r="G229" s="43" t="str">
        <x:f>IF(C229="","",CHOOSE(WEEKDAY(C229,2),"Lundi","Mardi","Mercredi","Jeudi","Vendredi","Samedi","Dimanche"))</x:f>
      </x:c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  <x:c r="AA229" s="43"/>
      <x:c r="AB229" s="43"/>
      <x:c r="AC229" s="43"/>
      <x:c r="AD229" s="43"/>
      <x:c r="AE229" s="43"/>
      <x:c r="AF229" s="43"/>
      <x:c r="AG229" s="67"/>
      <x:c r="AH229" s="43"/>
      <x:c r="AI229" s="43"/>
    </x:row>
    <x:row r="230">
      <x:c r="A230" s="43"/>
      <x:c r="B230" s="43"/>
      <x:c r="C230" s="43"/>
      <x:c r="D230" s="43" t="str">
        <x:f>IF(C230="","",YEAR(C230))</x:f>
      </x:c>
      <x:c r="E230" s="43" t="str">
        <x:f>IF(C230="","",MONTH(C230))</x:f>
      </x:c>
      <x:c r="F230" s="43" t="str">
        <x:f>IF(C230="","",WEEKNUM(C230,21))</x:f>
      </x:c>
      <x:c r="G230" s="43" t="str">
        <x:f>IF(C230="","",CHOOSE(WEEKDAY(C230,2),"Lundi","Mardi","Mercredi","Jeudi","Vendredi","Samedi","Dimanche"))</x:f>
      </x:c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  <x:c r="AA230" s="43"/>
      <x:c r="AB230" s="43"/>
      <x:c r="AC230" s="43"/>
      <x:c r="AD230" s="43"/>
      <x:c r="AE230" s="43"/>
      <x:c r="AF230" s="43"/>
      <x:c r="AG230" s="67"/>
      <x:c r="AH230" s="43"/>
      <x:c r="AI230" s="43"/>
    </x:row>
    <x:row r="231">
      <x:c r="A231" s="43"/>
      <x:c r="B231" s="43"/>
      <x:c r="C231" s="43"/>
      <x:c r="D231" s="43" t="str">
        <x:f>IF(C231="","",YEAR(C231))</x:f>
      </x:c>
      <x:c r="E231" s="43" t="str">
        <x:f>IF(C231="","",MONTH(C231))</x:f>
      </x:c>
      <x:c r="F231" s="43" t="str">
        <x:f>IF(C231="","",WEEKNUM(C231,21))</x:f>
      </x:c>
      <x:c r="G231" s="43" t="str">
        <x:f>IF(C231="","",CHOOSE(WEEKDAY(C231,2),"Lundi","Mardi","Mercredi","Jeudi","Vendredi","Samedi","Dimanche"))</x:f>
      </x:c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  <x:c r="AA231" s="43"/>
      <x:c r="AB231" s="43"/>
      <x:c r="AC231" s="43"/>
      <x:c r="AD231" s="43"/>
      <x:c r="AE231" s="43"/>
      <x:c r="AF231" s="43"/>
      <x:c r="AG231" s="67"/>
      <x:c r="AH231" s="43"/>
      <x:c r="AI231" s="43"/>
    </x:row>
    <x:row r="232">
      <x:c r="A232" s="43"/>
      <x:c r="B232" s="43"/>
      <x:c r="C232" s="43"/>
      <x:c r="D232" s="43" t="str">
        <x:f>IF(C232="","",YEAR(C232))</x:f>
      </x:c>
      <x:c r="E232" s="43" t="str">
        <x:f>IF(C232="","",MONTH(C232))</x:f>
      </x:c>
      <x:c r="F232" s="43" t="str">
        <x:f>IF(C232="","",WEEKNUM(C232,21))</x:f>
      </x:c>
      <x:c r="G232" s="43" t="str">
        <x:f>IF(C232="","",CHOOSE(WEEKDAY(C232,2),"Lundi","Mardi","Mercredi","Jeudi","Vendredi","Samedi","Dimanche"))</x:f>
      </x:c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  <x:c r="AA232" s="43"/>
      <x:c r="AB232" s="43"/>
      <x:c r="AC232" s="43"/>
      <x:c r="AD232" s="43"/>
      <x:c r="AE232" s="43"/>
      <x:c r="AF232" s="43"/>
      <x:c r="AG232" s="67"/>
      <x:c r="AH232" s="43"/>
      <x:c r="AI232" s="43"/>
    </x:row>
    <x:row r="233">
      <x:c r="A233" s="43"/>
      <x:c r="B233" s="43"/>
      <x:c r="C233" s="43"/>
      <x:c r="D233" s="43" t="str">
        <x:f>IF(C233="","",YEAR(C233))</x:f>
      </x:c>
      <x:c r="E233" s="43" t="str">
        <x:f>IF(C233="","",MONTH(C233))</x:f>
      </x:c>
      <x:c r="F233" s="43" t="str">
        <x:f>IF(C233="","",WEEKNUM(C233,21))</x:f>
      </x:c>
      <x:c r="G233" s="43" t="str">
        <x:f>IF(C233="","",CHOOSE(WEEKDAY(C233,2),"Lundi","Mardi","Mercredi","Jeudi","Vendredi","Samedi","Dimanche"))</x:f>
      </x:c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  <x:c r="AA233" s="43"/>
      <x:c r="AB233" s="43"/>
      <x:c r="AC233" s="43"/>
      <x:c r="AD233" s="43"/>
      <x:c r="AE233" s="43"/>
      <x:c r="AF233" s="43"/>
      <x:c r="AG233" s="67"/>
      <x:c r="AH233" s="43"/>
      <x:c r="AI233" s="43"/>
    </x:row>
    <x:row r="234">
      <x:c r="A234" s="43"/>
      <x:c r="B234" s="43"/>
      <x:c r="C234" s="43"/>
      <x:c r="D234" s="43" t="str">
        <x:f>IF(C234="","",YEAR(C234))</x:f>
      </x:c>
      <x:c r="E234" s="43" t="str">
        <x:f>IF(C234="","",MONTH(C234))</x:f>
      </x:c>
      <x:c r="F234" s="43" t="str">
        <x:f>IF(C234="","",WEEKNUM(C234,21))</x:f>
      </x:c>
      <x:c r="G234" s="43" t="str">
        <x:f>IF(C234="","",CHOOSE(WEEKDAY(C234,2),"Lundi","Mardi","Mercredi","Jeudi","Vendredi","Samedi","Dimanche"))</x:f>
      </x:c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  <x:c r="AA234" s="43"/>
      <x:c r="AB234" s="43"/>
      <x:c r="AC234" s="43"/>
      <x:c r="AD234" s="43"/>
      <x:c r="AE234" s="43"/>
      <x:c r="AF234" s="43"/>
      <x:c r="AG234" s="67"/>
      <x:c r="AH234" s="43"/>
      <x:c r="AI234" s="43"/>
    </x:row>
    <x:row r="235">
      <x:c r="A235" s="43"/>
      <x:c r="B235" s="43"/>
      <x:c r="C235" s="43"/>
      <x:c r="D235" s="43" t="str">
        <x:f>IF(C235="","",YEAR(C235))</x:f>
      </x:c>
      <x:c r="E235" s="43" t="str">
        <x:f>IF(C235="","",MONTH(C235))</x:f>
      </x:c>
      <x:c r="F235" s="43" t="str">
        <x:f>IF(C235="","",WEEKNUM(C235,21))</x:f>
      </x:c>
      <x:c r="G235" s="43" t="str">
        <x:f>IF(C235="","",CHOOSE(WEEKDAY(C235,2),"Lundi","Mardi","Mercredi","Jeudi","Vendredi","Samedi","Dimanche"))</x:f>
      </x:c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  <x:c r="AA235" s="43"/>
      <x:c r="AB235" s="43"/>
      <x:c r="AC235" s="43"/>
      <x:c r="AD235" s="43"/>
      <x:c r="AE235" s="43"/>
      <x:c r="AF235" s="43"/>
      <x:c r="AG235" s="67"/>
      <x:c r="AH235" s="43"/>
      <x:c r="AI235" s="43"/>
    </x:row>
    <x:row r="236">
      <x:c r="A236" s="43"/>
      <x:c r="B236" s="43"/>
      <x:c r="C236" s="43"/>
      <x:c r="D236" s="43" t="str">
        <x:f>IF(C236="","",YEAR(C236))</x:f>
      </x:c>
      <x:c r="E236" s="43" t="str">
        <x:f>IF(C236="","",MONTH(C236))</x:f>
      </x:c>
      <x:c r="F236" s="43" t="str">
        <x:f>IF(C236="","",WEEKNUM(C236,21))</x:f>
      </x:c>
      <x:c r="G236" s="43" t="str">
        <x:f>IF(C236="","",CHOOSE(WEEKDAY(C236,2),"Lundi","Mardi","Mercredi","Jeudi","Vendredi","Samedi","Dimanche"))</x:f>
      </x:c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  <x:c r="AA236" s="43"/>
      <x:c r="AB236" s="43"/>
      <x:c r="AC236" s="43"/>
      <x:c r="AD236" s="43"/>
      <x:c r="AE236" s="43"/>
      <x:c r="AF236" s="43"/>
      <x:c r="AG236" s="67"/>
      <x:c r="AH236" s="43"/>
      <x:c r="AI236" s="43"/>
    </x:row>
    <x:row r="237">
      <x:c r="A237" s="43"/>
      <x:c r="B237" s="43"/>
      <x:c r="C237" s="43"/>
      <x:c r="D237" s="43" t="str">
        <x:f>IF(C237="","",YEAR(C237))</x:f>
      </x:c>
      <x:c r="E237" s="43" t="str">
        <x:f>IF(C237="","",MONTH(C237))</x:f>
      </x:c>
      <x:c r="F237" s="43" t="str">
        <x:f>IF(C237="","",WEEKNUM(C237,21))</x:f>
      </x:c>
      <x:c r="G237" s="43" t="str">
        <x:f>IF(C237="","",CHOOSE(WEEKDAY(C237,2),"Lundi","Mardi","Mercredi","Jeudi","Vendredi","Samedi","Dimanche"))</x:f>
      </x:c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  <x:c r="AA237" s="43"/>
      <x:c r="AB237" s="43"/>
      <x:c r="AC237" s="43"/>
      <x:c r="AD237" s="43"/>
      <x:c r="AE237" s="43"/>
      <x:c r="AF237" s="43"/>
      <x:c r="AG237" s="67"/>
      <x:c r="AH237" s="43"/>
      <x:c r="AI237" s="43"/>
    </x:row>
    <x:row r="238">
      <x:c r="A238" s="43"/>
      <x:c r="B238" s="43"/>
      <x:c r="C238" s="43"/>
      <x:c r="D238" s="43" t="str">
        <x:f>IF(C238="","",YEAR(C238))</x:f>
      </x:c>
      <x:c r="E238" s="43" t="str">
        <x:f>IF(C238="","",MONTH(C238))</x:f>
      </x:c>
      <x:c r="F238" s="43" t="str">
        <x:f>IF(C238="","",WEEKNUM(C238,21))</x:f>
      </x:c>
      <x:c r="G238" s="43" t="str">
        <x:f>IF(C238="","",CHOOSE(WEEKDAY(C238,2),"Lundi","Mardi","Mercredi","Jeudi","Vendredi","Samedi","Dimanche"))</x:f>
      </x:c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  <x:c r="AA238" s="43"/>
      <x:c r="AB238" s="43"/>
      <x:c r="AC238" s="43"/>
      <x:c r="AD238" s="43"/>
      <x:c r="AE238" s="43"/>
      <x:c r="AF238" s="43"/>
      <x:c r="AG238" s="67"/>
      <x:c r="AH238" s="43"/>
      <x:c r="AI238" s="43"/>
    </x:row>
    <x:row r="239">
      <x:c r="A239" s="43"/>
      <x:c r="B239" s="43"/>
      <x:c r="C239" s="43"/>
      <x:c r="D239" s="43" t="str">
        <x:f>IF(C239="","",YEAR(C239))</x:f>
      </x:c>
      <x:c r="E239" s="43" t="str">
        <x:f>IF(C239="","",MONTH(C239))</x:f>
      </x:c>
      <x:c r="F239" s="43" t="str">
        <x:f>IF(C239="","",WEEKNUM(C239,21))</x:f>
      </x:c>
      <x:c r="G239" s="43" t="str">
        <x:f>IF(C239="","",CHOOSE(WEEKDAY(C239,2),"Lundi","Mardi","Mercredi","Jeudi","Vendredi","Samedi","Dimanche"))</x:f>
      </x:c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  <x:c r="AA239" s="43"/>
      <x:c r="AB239" s="43"/>
      <x:c r="AC239" s="43"/>
      <x:c r="AD239" s="43"/>
      <x:c r="AE239" s="43"/>
      <x:c r="AF239" s="43"/>
      <x:c r="AG239" s="67"/>
      <x:c r="AH239" s="43"/>
      <x:c r="AI239" s="43"/>
    </x:row>
    <x:row r="240">
      <x:c r="A240" s="43"/>
      <x:c r="B240" s="43"/>
      <x:c r="C240" s="43"/>
      <x:c r="D240" s="43" t="str">
        <x:f>IF(C240="","",YEAR(C240))</x:f>
      </x:c>
      <x:c r="E240" s="43" t="str">
        <x:f>IF(C240="","",MONTH(C240))</x:f>
      </x:c>
      <x:c r="F240" s="43" t="str">
        <x:f>IF(C240="","",WEEKNUM(C240,21))</x:f>
      </x:c>
      <x:c r="G240" s="43" t="str">
        <x:f>IF(C240="","",CHOOSE(WEEKDAY(C240,2),"Lundi","Mardi","Mercredi","Jeudi","Vendredi","Samedi","Dimanche"))</x:f>
      </x:c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  <x:c r="AA240" s="43"/>
      <x:c r="AB240" s="43"/>
      <x:c r="AC240" s="43"/>
      <x:c r="AD240" s="43"/>
      <x:c r="AE240" s="43"/>
      <x:c r="AF240" s="43"/>
      <x:c r="AG240" s="67"/>
      <x:c r="AH240" s="43"/>
      <x:c r="AI240" s="43"/>
    </x:row>
    <x:row r="241">
      <x:c r="A241" s="43"/>
      <x:c r="B241" s="43"/>
      <x:c r="C241" s="43"/>
      <x:c r="D241" s="43" t="str">
        <x:f>IF(C241="","",YEAR(C241))</x:f>
      </x:c>
      <x:c r="E241" s="43" t="str">
        <x:f>IF(C241="","",MONTH(C241))</x:f>
      </x:c>
      <x:c r="F241" s="43" t="str">
        <x:f>IF(C241="","",WEEKNUM(C241,21))</x:f>
      </x:c>
      <x:c r="G241" s="43" t="str">
        <x:f>IF(C241="","",CHOOSE(WEEKDAY(C241,2),"Lundi","Mardi","Mercredi","Jeudi","Vendredi","Samedi","Dimanche"))</x:f>
      </x:c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  <x:c r="AA241" s="43"/>
      <x:c r="AB241" s="43"/>
      <x:c r="AC241" s="43"/>
      <x:c r="AD241" s="43"/>
      <x:c r="AE241" s="43"/>
      <x:c r="AF241" s="43"/>
      <x:c r="AG241" s="67"/>
      <x:c r="AH241" s="43"/>
      <x:c r="AI241" s="43"/>
    </x:row>
    <x:row r="242">
      <x:c r="A242" s="43"/>
      <x:c r="B242" s="43"/>
      <x:c r="C242" s="43"/>
      <x:c r="D242" s="43" t="str">
        <x:f>IF(C242="","",YEAR(C242))</x:f>
      </x:c>
      <x:c r="E242" s="43" t="str">
        <x:f>IF(C242="","",MONTH(C242))</x:f>
      </x:c>
      <x:c r="F242" s="43" t="str">
        <x:f>IF(C242="","",WEEKNUM(C242,21))</x:f>
      </x:c>
      <x:c r="G242" s="43" t="str">
        <x:f>IF(C242="","",CHOOSE(WEEKDAY(C242,2),"Lundi","Mardi","Mercredi","Jeudi","Vendredi","Samedi","Dimanche"))</x:f>
      </x:c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  <x:c r="AA242" s="43"/>
      <x:c r="AB242" s="43"/>
      <x:c r="AC242" s="43"/>
      <x:c r="AD242" s="43"/>
      <x:c r="AE242" s="43"/>
      <x:c r="AF242" s="43"/>
      <x:c r="AG242" s="67"/>
      <x:c r="AH242" s="43"/>
      <x:c r="AI242" s="43"/>
    </x:row>
    <x:row r="243">
      <x:c r="A243" s="43"/>
      <x:c r="B243" s="43"/>
      <x:c r="C243" s="43"/>
      <x:c r="D243" s="43" t="str">
        <x:f>IF(C243="","",YEAR(C243))</x:f>
      </x:c>
      <x:c r="E243" s="43" t="str">
        <x:f>IF(C243="","",MONTH(C243))</x:f>
      </x:c>
      <x:c r="F243" s="43" t="str">
        <x:f>IF(C243="","",WEEKNUM(C243,21))</x:f>
      </x:c>
      <x:c r="G243" s="43" t="str">
        <x:f>IF(C243="","",CHOOSE(WEEKDAY(C243,2),"Lundi","Mardi","Mercredi","Jeudi","Vendredi","Samedi","Dimanche"))</x:f>
      </x:c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  <x:c r="AA243" s="43"/>
      <x:c r="AB243" s="43"/>
      <x:c r="AC243" s="43"/>
      <x:c r="AD243" s="43"/>
      <x:c r="AE243" s="43"/>
      <x:c r="AF243" s="43"/>
      <x:c r="AG243" s="67"/>
      <x:c r="AH243" s="43"/>
      <x:c r="AI243" s="43"/>
    </x:row>
    <x:row r="244">
      <x:c r="A244" s="43"/>
      <x:c r="B244" s="43"/>
      <x:c r="C244" s="43"/>
      <x:c r="D244" s="43" t="str">
        <x:f>IF(C244="","",YEAR(C244))</x:f>
      </x:c>
      <x:c r="E244" s="43" t="str">
        <x:f>IF(C244="","",MONTH(C244))</x:f>
      </x:c>
      <x:c r="F244" s="43" t="str">
        <x:f>IF(C244="","",WEEKNUM(C244,21))</x:f>
      </x:c>
      <x:c r="G244" s="43" t="str">
        <x:f>IF(C244="","",CHOOSE(WEEKDAY(C244,2),"Lundi","Mardi","Mercredi","Jeudi","Vendredi","Samedi","Dimanche"))</x:f>
      </x:c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  <x:c r="AA244" s="43"/>
      <x:c r="AB244" s="43"/>
      <x:c r="AC244" s="43"/>
      <x:c r="AD244" s="43"/>
      <x:c r="AE244" s="43"/>
      <x:c r="AF244" s="43"/>
      <x:c r="AG244" s="67"/>
      <x:c r="AH244" s="43"/>
      <x:c r="AI244" s="43"/>
    </x:row>
    <x:row r="245">
      <x:c r="A245" s="43"/>
      <x:c r="B245" s="43"/>
      <x:c r="C245" s="43"/>
      <x:c r="D245" s="43" t="str">
        <x:f>IF(C245="","",YEAR(C245))</x:f>
      </x:c>
      <x:c r="E245" s="43" t="str">
        <x:f>IF(C245="","",MONTH(C245))</x:f>
      </x:c>
      <x:c r="F245" s="43" t="str">
        <x:f>IF(C245="","",WEEKNUM(C245,21))</x:f>
      </x:c>
      <x:c r="G245" s="43" t="str">
        <x:f>IF(C245="","",CHOOSE(WEEKDAY(C245,2),"Lundi","Mardi","Mercredi","Jeudi","Vendredi","Samedi","Dimanche"))</x:f>
      </x:c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  <x:c r="AA245" s="43"/>
      <x:c r="AB245" s="43"/>
      <x:c r="AC245" s="43"/>
      <x:c r="AD245" s="43"/>
      <x:c r="AE245" s="43"/>
      <x:c r="AF245" s="43"/>
      <x:c r="AG245" s="67"/>
      <x:c r="AH245" s="43"/>
      <x:c r="AI245" s="43"/>
    </x:row>
    <x:row r="246">
      <x:c r="A246" s="43"/>
      <x:c r="B246" s="43"/>
      <x:c r="C246" s="43"/>
      <x:c r="D246" s="43" t="str">
        <x:f>IF(C246="","",YEAR(C246))</x:f>
      </x:c>
      <x:c r="E246" s="43" t="str">
        <x:f>IF(C246="","",MONTH(C246))</x:f>
      </x:c>
      <x:c r="F246" s="43" t="str">
        <x:f>IF(C246="","",WEEKNUM(C246,21))</x:f>
      </x:c>
      <x:c r="G246" s="43" t="str">
        <x:f>IF(C246="","",CHOOSE(WEEKDAY(C246,2),"Lundi","Mardi","Mercredi","Jeudi","Vendredi","Samedi","Dimanche"))</x:f>
      </x:c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  <x:c r="AA246" s="43"/>
      <x:c r="AB246" s="43"/>
      <x:c r="AC246" s="43"/>
      <x:c r="AD246" s="43"/>
      <x:c r="AE246" s="43"/>
      <x:c r="AF246" s="43"/>
      <x:c r="AG246" s="67"/>
      <x:c r="AH246" s="43"/>
      <x:c r="AI246" s="43"/>
    </x:row>
    <x:row r="247">
      <x:c r="A247" s="43"/>
      <x:c r="B247" s="43"/>
      <x:c r="C247" s="43"/>
      <x:c r="D247" s="43" t="str">
        <x:f>IF(C247="","",YEAR(C247))</x:f>
      </x:c>
      <x:c r="E247" s="43" t="str">
        <x:f>IF(C247="","",MONTH(C247))</x:f>
      </x:c>
      <x:c r="F247" s="43" t="str">
        <x:f>IF(C247="","",WEEKNUM(C247,21))</x:f>
      </x:c>
      <x:c r="G247" s="43" t="str">
        <x:f>IF(C247="","",CHOOSE(WEEKDAY(C247,2),"Lundi","Mardi","Mercredi","Jeudi","Vendredi","Samedi","Dimanche"))</x:f>
      </x:c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  <x:c r="AA247" s="43"/>
      <x:c r="AB247" s="43"/>
      <x:c r="AC247" s="43"/>
      <x:c r="AD247" s="43"/>
      <x:c r="AE247" s="43"/>
      <x:c r="AF247" s="43"/>
      <x:c r="AG247" s="67"/>
      <x:c r="AH247" s="43"/>
      <x:c r="AI247" s="43"/>
    </x:row>
    <x:row r="248">
      <x:c r="A248" s="43"/>
      <x:c r="B248" s="43"/>
      <x:c r="C248" s="43"/>
      <x:c r="D248" s="43" t="str">
        <x:f>IF(C248="","",YEAR(C248))</x:f>
      </x:c>
      <x:c r="E248" s="43" t="str">
        <x:f>IF(C248="","",MONTH(C248))</x:f>
      </x:c>
      <x:c r="F248" s="43" t="str">
        <x:f>IF(C248="","",WEEKNUM(C248,21))</x:f>
      </x:c>
      <x:c r="G248" s="43" t="str">
        <x:f>IF(C248="","",CHOOSE(WEEKDAY(C248,2),"Lundi","Mardi","Mercredi","Jeudi","Vendredi","Samedi","Dimanche"))</x:f>
      </x:c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  <x:c r="AA248" s="43"/>
      <x:c r="AB248" s="43"/>
      <x:c r="AC248" s="43"/>
      <x:c r="AD248" s="43"/>
      <x:c r="AE248" s="43"/>
      <x:c r="AF248" s="43"/>
      <x:c r="AG248" s="67"/>
      <x:c r="AH248" s="43"/>
      <x:c r="AI248" s="43"/>
    </x:row>
    <x:row r="249">
      <x:c r="A249" s="43"/>
      <x:c r="B249" s="43"/>
      <x:c r="C249" s="43"/>
      <x:c r="D249" s="43" t="str">
        <x:f>IF(C249="","",YEAR(C249))</x:f>
      </x:c>
      <x:c r="E249" s="43" t="str">
        <x:f>IF(C249="","",MONTH(C249))</x:f>
      </x:c>
      <x:c r="F249" s="43" t="str">
        <x:f>IF(C249="","",WEEKNUM(C249,21))</x:f>
      </x:c>
      <x:c r="G249" s="43" t="str">
        <x:f>IF(C249="","",CHOOSE(WEEKDAY(C249,2),"Lundi","Mardi","Mercredi","Jeudi","Vendredi","Samedi","Dimanche"))</x:f>
      </x:c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  <x:c r="AA249" s="43"/>
      <x:c r="AB249" s="43"/>
      <x:c r="AC249" s="43"/>
      <x:c r="AD249" s="43"/>
      <x:c r="AE249" s="43"/>
      <x:c r="AF249" s="43"/>
      <x:c r="AG249" s="67"/>
      <x:c r="AH249" s="43"/>
      <x:c r="AI249" s="43"/>
    </x:row>
    <x:row r="250">
      <x:c r="A250" s="43"/>
      <x:c r="B250" s="43"/>
      <x:c r="C250" s="43"/>
      <x:c r="D250" s="43" t="str">
        <x:f>IF(C250="","",YEAR(C250))</x:f>
      </x:c>
      <x:c r="E250" s="43" t="str">
        <x:f>IF(C250="","",MONTH(C250))</x:f>
      </x:c>
      <x:c r="F250" s="43" t="str">
        <x:f>IF(C250="","",WEEKNUM(C250,21))</x:f>
      </x:c>
      <x:c r="G250" s="43" t="str">
        <x:f>IF(C250="","",CHOOSE(WEEKDAY(C250,2),"Lundi","Mardi","Mercredi","Jeudi","Vendredi","Samedi","Dimanche"))</x:f>
      </x:c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  <x:c r="AA250" s="43"/>
      <x:c r="AB250" s="43"/>
      <x:c r="AC250" s="43"/>
      <x:c r="AD250" s="43"/>
      <x:c r="AE250" s="43"/>
      <x:c r="AF250" s="43"/>
      <x:c r="AG250" s="67"/>
      <x:c r="AH250" s="43"/>
      <x:c r="AI250" s="43"/>
    </x:row>
    <x:row r="251">
      <x:c r="A251" s="43"/>
      <x:c r="B251" s="43"/>
      <x:c r="C251" s="43"/>
      <x:c r="D251" s="43" t="str">
        <x:f>IF(C251="","",YEAR(C251))</x:f>
      </x:c>
      <x:c r="E251" s="43" t="str">
        <x:f>IF(C251="","",MONTH(C251))</x:f>
      </x:c>
      <x:c r="F251" s="43" t="str">
        <x:f>IF(C251="","",WEEKNUM(C251,21))</x:f>
      </x:c>
      <x:c r="G251" s="43" t="str">
        <x:f>IF(C251="","",CHOOSE(WEEKDAY(C251,2),"Lundi","Mardi","Mercredi","Jeudi","Vendredi","Samedi","Dimanche"))</x:f>
      </x:c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  <x:c r="AA251" s="43"/>
      <x:c r="AB251" s="43"/>
      <x:c r="AC251" s="43"/>
      <x:c r="AD251" s="43"/>
      <x:c r="AE251" s="43"/>
      <x:c r="AF251" s="43"/>
      <x:c r="AG251" s="67"/>
      <x:c r="AH251" s="43"/>
      <x:c r="AI251" s="43"/>
    </x:row>
    <x:row r="252">
      <x:c r="A252" s="43"/>
      <x:c r="B252" s="43"/>
      <x:c r="C252" s="43"/>
      <x:c r="D252" s="43" t="str">
        <x:f>IF(C252="","",YEAR(C252))</x:f>
      </x:c>
      <x:c r="E252" s="43" t="str">
        <x:f>IF(C252="","",MONTH(C252))</x:f>
      </x:c>
      <x:c r="F252" s="43" t="str">
        <x:f>IF(C252="","",WEEKNUM(C252,21))</x:f>
      </x:c>
      <x:c r="G252" s="43" t="str">
        <x:f>IF(C252="","",CHOOSE(WEEKDAY(C252,2),"Lundi","Mardi","Mercredi","Jeudi","Vendredi","Samedi","Dimanche"))</x:f>
      </x:c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  <x:c r="AA252" s="43"/>
      <x:c r="AB252" s="43"/>
      <x:c r="AC252" s="43"/>
      <x:c r="AD252" s="43"/>
      <x:c r="AE252" s="43"/>
      <x:c r="AF252" s="43"/>
      <x:c r="AG252" s="67"/>
      <x:c r="AH252" s="43"/>
      <x:c r="AI252" s="43"/>
    </x:row>
    <x:row r="253">
      <x:c r="A253" s="43"/>
      <x:c r="B253" s="43"/>
      <x:c r="C253" s="43"/>
      <x:c r="D253" s="43" t="str">
        <x:f>IF(C253="","",YEAR(C253))</x:f>
      </x:c>
      <x:c r="E253" s="43" t="str">
        <x:f>IF(C253="","",MONTH(C253))</x:f>
      </x:c>
      <x:c r="F253" s="43" t="str">
        <x:f>IF(C253="","",WEEKNUM(C253,21))</x:f>
      </x:c>
      <x:c r="G253" s="43" t="str">
        <x:f>IF(C253="","",CHOOSE(WEEKDAY(C253,2),"Lundi","Mardi","Mercredi","Jeudi","Vendredi","Samedi","Dimanche"))</x:f>
      </x:c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  <x:c r="AA253" s="43"/>
      <x:c r="AB253" s="43"/>
      <x:c r="AC253" s="43"/>
      <x:c r="AD253" s="43"/>
      <x:c r="AE253" s="43"/>
      <x:c r="AF253" s="43"/>
      <x:c r="AG253" s="67"/>
      <x:c r="AH253" s="43"/>
      <x:c r="AI253" s="43"/>
    </x:row>
    <x:row r="254">
      <x:c r="A254" s="43"/>
      <x:c r="B254" s="43"/>
      <x:c r="C254" s="43"/>
      <x:c r="D254" s="43" t="str">
        <x:f>IF(C254="","",YEAR(C254))</x:f>
      </x:c>
      <x:c r="E254" s="43" t="str">
        <x:f>IF(C254="","",MONTH(C254))</x:f>
      </x:c>
      <x:c r="F254" s="43" t="str">
        <x:f>IF(C254="","",WEEKNUM(C254,21))</x:f>
      </x:c>
      <x:c r="G254" s="43" t="str">
        <x:f>IF(C254="","",CHOOSE(WEEKDAY(C254,2),"Lundi","Mardi","Mercredi","Jeudi","Vendredi","Samedi","Dimanche"))</x:f>
      </x:c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  <x:c r="AA254" s="43"/>
      <x:c r="AB254" s="43"/>
      <x:c r="AC254" s="43"/>
      <x:c r="AD254" s="43"/>
      <x:c r="AE254" s="43"/>
      <x:c r="AF254" s="43"/>
      <x:c r="AG254" s="67"/>
      <x:c r="AH254" s="43"/>
      <x:c r="AI254" s="43"/>
    </x:row>
    <x:row r="255">
      <x:c r="A255" s="43"/>
      <x:c r="B255" s="43"/>
      <x:c r="C255" s="43"/>
      <x:c r="D255" s="43" t="str">
        <x:f>IF(C255="","",YEAR(C255))</x:f>
      </x:c>
      <x:c r="E255" s="43" t="str">
        <x:f>IF(C255="","",MONTH(C255))</x:f>
      </x:c>
      <x:c r="F255" s="43" t="str">
        <x:f>IF(C255="","",WEEKNUM(C255,21))</x:f>
      </x:c>
      <x:c r="G255" s="43" t="str">
        <x:f>IF(C255="","",CHOOSE(WEEKDAY(C255,2),"Lundi","Mardi","Mercredi","Jeudi","Vendredi","Samedi","Dimanche"))</x:f>
      </x:c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  <x:c r="AA255" s="43"/>
      <x:c r="AB255" s="43"/>
      <x:c r="AC255" s="43"/>
      <x:c r="AD255" s="43"/>
      <x:c r="AE255" s="43"/>
      <x:c r="AF255" s="43"/>
      <x:c r="AG255" s="67"/>
      <x:c r="AH255" s="43"/>
      <x:c r="AI255" s="43"/>
    </x:row>
    <x:row r="256">
      <x:c r="A256" s="43"/>
      <x:c r="B256" s="43"/>
      <x:c r="C256" s="43"/>
      <x:c r="D256" s="43" t="str">
        <x:f>IF(C256="","",YEAR(C256))</x:f>
      </x:c>
      <x:c r="E256" s="43" t="str">
        <x:f>IF(C256="","",MONTH(C256))</x:f>
      </x:c>
      <x:c r="F256" s="43" t="str">
        <x:f>IF(C256="","",WEEKNUM(C256,21))</x:f>
      </x:c>
      <x:c r="G256" s="43" t="str">
        <x:f>IF(C256="","",CHOOSE(WEEKDAY(C256,2),"Lundi","Mardi","Mercredi","Jeudi","Vendredi","Samedi","Dimanche"))</x:f>
      </x:c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  <x:c r="AA256" s="43"/>
      <x:c r="AB256" s="43"/>
      <x:c r="AC256" s="43"/>
      <x:c r="AD256" s="43"/>
      <x:c r="AE256" s="43"/>
      <x:c r="AF256" s="43"/>
      <x:c r="AG256" s="67"/>
      <x:c r="AH256" s="43"/>
      <x:c r="AI256" s="43"/>
    </x:row>
    <x:row r="257">
      <x:c r="A257" s="43"/>
      <x:c r="B257" s="43"/>
      <x:c r="C257" s="43"/>
      <x:c r="D257" s="43" t="str">
        <x:f>IF(C257="","",YEAR(C257))</x:f>
      </x:c>
      <x:c r="E257" s="43" t="str">
        <x:f>IF(C257="","",MONTH(C257))</x:f>
      </x:c>
      <x:c r="F257" s="43" t="str">
        <x:f>IF(C257="","",WEEKNUM(C257,21))</x:f>
      </x:c>
      <x:c r="G257" s="43" t="str">
        <x:f>IF(C257="","",CHOOSE(WEEKDAY(C257,2),"Lundi","Mardi","Mercredi","Jeudi","Vendredi","Samedi","Dimanche"))</x:f>
      </x:c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  <x:c r="AA257" s="43"/>
      <x:c r="AB257" s="43"/>
      <x:c r="AC257" s="43"/>
      <x:c r="AD257" s="43"/>
      <x:c r="AE257" s="43"/>
      <x:c r="AF257" s="43"/>
      <x:c r="AG257" s="67"/>
      <x:c r="AH257" s="43"/>
      <x:c r="AI257" s="43"/>
    </x:row>
    <x:row r="258">
      <x:c r="A258" s="43"/>
      <x:c r="B258" s="43"/>
      <x:c r="C258" s="43"/>
      <x:c r="D258" s="43" t="str">
        <x:f>IF(C258="","",YEAR(C258))</x:f>
      </x:c>
      <x:c r="E258" s="43" t="str">
        <x:f>IF(C258="","",MONTH(C258))</x:f>
      </x:c>
      <x:c r="F258" s="43" t="str">
        <x:f>IF(C258="","",WEEKNUM(C258,21))</x:f>
      </x:c>
      <x:c r="G258" s="43" t="str">
        <x:f>IF(C258="","",CHOOSE(WEEKDAY(C258,2),"Lundi","Mardi","Mercredi","Jeudi","Vendredi","Samedi","Dimanche"))</x:f>
      </x:c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  <x:c r="AA258" s="43"/>
      <x:c r="AB258" s="43"/>
      <x:c r="AC258" s="43"/>
      <x:c r="AD258" s="43"/>
      <x:c r="AE258" s="43"/>
      <x:c r="AF258" s="43"/>
      <x:c r="AG258" s="67"/>
      <x:c r="AH258" s="43"/>
      <x:c r="AI258" s="43"/>
    </x:row>
    <x:row r="259">
      <x:c r="A259" s="43"/>
      <x:c r="B259" s="43"/>
      <x:c r="C259" s="43"/>
      <x:c r="D259" s="43" t="str">
        <x:f>IF(C259="","",YEAR(C259))</x:f>
      </x:c>
      <x:c r="E259" s="43" t="str">
        <x:f>IF(C259="","",MONTH(C259))</x:f>
      </x:c>
      <x:c r="F259" s="43" t="str">
        <x:f>IF(C259="","",WEEKNUM(C259,21))</x:f>
      </x:c>
      <x:c r="G259" s="43" t="str">
        <x:f>IF(C259="","",CHOOSE(WEEKDAY(C259,2),"Lundi","Mardi","Mercredi","Jeudi","Vendredi","Samedi","Dimanche"))</x:f>
      </x:c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  <x:c r="AA259" s="43"/>
      <x:c r="AB259" s="43"/>
      <x:c r="AC259" s="43"/>
      <x:c r="AD259" s="43"/>
      <x:c r="AE259" s="43"/>
      <x:c r="AF259" s="43"/>
      <x:c r="AG259" s="67"/>
      <x:c r="AH259" s="43"/>
      <x:c r="AI259" s="43"/>
    </x:row>
    <x:row r="260">
      <x:c r="A260" s="43"/>
      <x:c r="B260" s="43"/>
      <x:c r="C260" s="43"/>
      <x:c r="D260" s="43" t="str">
        <x:f>IF(C260="","",YEAR(C260))</x:f>
      </x:c>
      <x:c r="E260" s="43" t="str">
        <x:f>IF(C260="","",MONTH(C260))</x:f>
      </x:c>
      <x:c r="F260" s="43" t="str">
        <x:f>IF(C260="","",WEEKNUM(C260,21))</x:f>
      </x:c>
      <x:c r="G260" s="43" t="str">
        <x:f>IF(C260="","",CHOOSE(WEEKDAY(C260,2),"Lundi","Mardi","Mercredi","Jeudi","Vendredi","Samedi","Dimanche"))</x:f>
      </x:c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  <x:c r="AA260" s="43"/>
      <x:c r="AB260" s="43"/>
      <x:c r="AC260" s="43"/>
      <x:c r="AD260" s="43"/>
      <x:c r="AE260" s="43"/>
      <x:c r="AF260" s="43"/>
      <x:c r="AG260" s="67"/>
      <x:c r="AH260" s="43"/>
      <x:c r="AI260" s="43"/>
    </x:row>
    <x:row r="261">
      <x:c r="A261" s="43"/>
      <x:c r="B261" s="43"/>
      <x:c r="C261" s="43"/>
      <x:c r="D261" s="43" t="str">
        <x:f>IF(C261="","",YEAR(C261))</x:f>
      </x:c>
      <x:c r="E261" s="43" t="str">
        <x:f>IF(C261="","",MONTH(C261))</x:f>
      </x:c>
      <x:c r="F261" s="43" t="str">
        <x:f>IF(C261="","",WEEKNUM(C261,21))</x:f>
      </x:c>
      <x:c r="G261" s="43" t="str">
        <x:f>IF(C261="","",CHOOSE(WEEKDAY(C261,2),"Lundi","Mardi","Mercredi","Jeudi","Vendredi","Samedi","Dimanche"))</x:f>
      </x:c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  <x:c r="AA261" s="43"/>
      <x:c r="AB261" s="43"/>
      <x:c r="AC261" s="43"/>
      <x:c r="AD261" s="43"/>
      <x:c r="AE261" s="43"/>
      <x:c r="AF261" s="43"/>
      <x:c r="AG261" s="67"/>
      <x:c r="AH261" s="43"/>
      <x:c r="AI261" s="43"/>
    </x:row>
    <x:row r="262">
      <x:c r="A262" s="43"/>
      <x:c r="B262" s="43"/>
      <x:c r="C262" s="43"/>
      <x:c r="D262" s="43" t="str">
        <x:f>IF(C262="","",YEAR(C262))</x:f>
      </x:c>
      <x:c r="E262" s="43" t="str">
        <x:f>IF(C262="","",MONTH(C262))</x:f>
      </x:c>
      <x:c r="F262" s="43" t="str">
        <x:f>IF(C262="","",WEEKNUM(C262,21))</x:f>
      </x:c>
      <x:c r="G262" s="43" t="str">
        <x:f>IF(C262="","",CHOOSE(WEEKDAY(C262,2),"Lundi","Mardi","Mercredi","Jeudi","Vendredi","Samedi","Dimanche"))</x:f>
      </x:c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  <x:c r="AA262" s="43"/>
      <x:c r="AB262" s="43"/>
      <x:c r="AC262" s="43"/>
      <x:c r="AD262" s="43"/>
      <x:c r="AE262" s="43"/>
      <x:c r="AF262" s="43"/>
      <x:c r="AG262" s="67"/>
      <x:c r="AH262" s="43"/>
      <x:c r="AI262" s="43"/>
    </x:row>
    <x:row r="263">
      <x:c r="A263" s="43"/>
      <x:c r="B263" s="43"/>
      <x:c r="C263" s="43"/>
      <x:c r="D263" s="43" t="str">
        <x:f>IF(C263="","",YEAR(C263))</x:f>
      </x:c>
      <x:c r="E263" s="43" t="str">
        <x:f>IF(C263="","",MONTH(C263))</x:f>
      </x:c>
      <x:c r="F263" s="43" t="str">
        <x:f>IF(C263="","",WEEKNUM(C263,21))</x:f>
      </x:c>
      <x:c r="G263" s="43" t="str">
        <x:f>IF(C263="","",CHOOSE(WEEKDAY(C263,2),"Lundi","Mardi","Mercredi","Jeudi","Vendredi","Samedi","Dimanche"))</x:f>
      </x:c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  <x:c r="AA263" s="43"/>
      <x:c r="AB263" s="43"/>
      <x:c r="AC263" s="43"/>
      <x:c r="AD263" s="43"/>
      <x:c r="AE263" s="43"/>
      <x:c r="AF263" s="43"/>
      <x:c r="AG263" s="67"/>
      <x:c r="AH263" s="43"/>
      <x:c r="AI263" s="43"/>
    </x:row>
    <x:row r="264">
      <x:c r="A264" s="43"/>
      <x:c r="B264" s="43"/>
      <x:c r="C264" s="43"/>
      <x:c r="D264" s="43" t="str">
        <x:f>IF(C264="","",YEAR(C264))</x:f>
      </x:c>
      <x:c r="E264" s="43" t="str">
        <x:f>IF(C264="","",MONTH(C264))</x:f>
      </x:c>
      <x:c r="F264" s="43" t="str">
        <x:f>IF(C264="","",WEEKNUM(C264,21))</x:f>
      </x:c>
      <x:c r="G264" s="43" t="str">
        <x:f>IF(C264="","",CHOOSE(WEEKDAY(C264,2),"Lundi","Mardi","Mercredi","Jeudi","Vendredi","Samedi","Dimanche"))</x:f>
      </x:c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  <x:c r="AA264" s="43"/>
      <x:c r="AB264" s="43"/>
      <x:c r="AC264" s="43"/>
      <x:c r="AD264" s="43"/>
      <x:c r="AE264" s="43"/>
      <x:c r="AF264" s="43"/>
      <x:c r="AG264" s="67"/>
      <x:c r="AH264" s="43"/>
      <x:c r="AI264" s="43"/>
    </x:row>
    <x:row r="265">
      <x:c r="A265" s="43"/>
      <x:c r="B265" s="43"/>
      <x:c r="C265" s="43"/>
      <x:c r="D265" s="43" t="str">
        <x:f>IF(C265="","",YEAR(C265))</x:f>
      </x:c>
      <x:c r="E265" s="43" t="str">
        <x:f>IF(C265="","",MONTH(C265))</x:f>
      </x:c>
      <x:c r="F265" s="43" t="str">
        <x:f>IF(C265="","",WEEKNUM(C265,21))</x:f>
      </x:c>
      <x:c r="G265" s="43" t="str">
        <x:f>IF(C265="","",CHOOSE(WEEKDAY(C265,2),"Lundi","Mardi","Mercredi","Jeudi","Vendredi","Samedi","Dimanche"))</x:f>
      </x:c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  <x:c r="AA265" s="43"/>
      <x:c r="AB265" s="43"/>
      <x:c r="AC265" s="43"/>
      <x:c r="AD265" s="43"/>
      <x:c r="AE265" s="43"/>
      <x:c r="AF265" s="43"/>
      <x:c r="AG265" s="67"/>
      <x:c r="AH265" s="43"/>
      <x:c r="AI265" s="43"/>
    </x:row>
    <x:row r="266">
      <x:c r="A266" s="43"/>
      <x:c r="B266" s="43"/>
      <x:c r="C266" s="43"/>
      <x:c r="D266" s="43" t="str">
        <x:f>IF(C266="","",YEAR(C266))</x:f>
      </x:c>
      <x:c r="E266" s="43" t="str">
        <x:f>IF(C266="","",MONTH(C266))</x:f>
      </x:c>
      <x:c r="F266" s="43" t="str">
        <x:f>IF(C266="","",WEEKNUM(C266,21))</x:f>
      </x:c>
      <x:c r="G266" s="43" t="str">
        <x:f>IF(C266="","",CHOOSE(WEEKDAY(C266,2),"Lundi","Mardi","Mercredi","Jeudi","Vendredi","Samedi","Dimanche"))</x:f>
      </x:c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  <x:c r="AA266" s="43"/>
      <x:c r="AB266" s="43"/>
      <x:c r="AC266" s="43"/>
      <x:c r="AD266" s="43"/>
      <x:c r="AE266" s="43"/>
      <x:c r="AF266" s="43"/>
      <x:c r="AG266" s="67"/>
      <x:c r="AH266" s="43"/>
      <x:c r="AI266" s="43"/>
    </x:row>
    <x:row r="267">
      <x:c r="A267" s="43"/>
      <x:c r="B267" s="43"/>
      <x:c r="C267" s="43"/>
      <x:c r="D267" s="43" t="str">
        <x:f>IF(C267="","",YEAR(C267))</x:f>
      </x:c>
      <x:c r="E267" s="43" t="str">
        <x:f>IF(C267="","",MONTH(C267))</x:f>
      </x:c>
      <x:c r="F267" s="43" t="str">
        <x:f>IF(C267="","",WEEKNUM(C267,21))</x:f>
      </x:c>
      <x:c r="G267" s="43" t="str">
        <x:f>IF(C267="","",CHOOSE(WEEKDAY(C267,2),"Lundi","Mardi","Mercredi","Jeudi","Vendredi","Samedi","Dimanche"))</x:f>
      </x:c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  <x:c r="AA267" s="43"/>
      <x:c r="AB267" s="43"/>
      <x:c r="AC267" s="43"/>
      <x:c r="AD267" s="43"/>
      <x:c r="AE267" s="43"/>
      <x:c r="AF267" s="43"/>
      <x:c r="AG267" s="67"/>
      <x:c r="AH267" s="43"/>
      <x:c r="AI267" s="43"/>
    </x:row>
    <x:row r="268">
      <x:c r="A268" s="43"/>
      <x:c r="B268" s="43"/>
      <x:c r="C268" s="43"/>
      <x:c r="D268" s="43" t="str">
        <x:f>IF(C268="","",YEAR(C268))</x:f>
      </x:c>
      <x:c r="E268" s="43" t="str">
        <x:f>IF(C268="","",MONTH(C268))</x:f>
      </x:c>
      <x:c r="F268" s="43" t="str">
        <x:f>IF(C268="","",WEEKNUM(C268,21))</x:f>
      </x:c>
      <x:c r="G268" s="43" t="str">
        <x:f>IF(C268="","",CHOOSE(WEEKDAY(C268,2),"Lundi","Mardi","Mercredi","Jeudi","Vendredi","Samedi","Dimanche"))</x:f>
      </x:c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  <x:c r="AA268" s="43"/>
      <x:c r="AB268" s="43"/>
      <x:c r="AC268" s="43"/>
      <x:c r="AD268" s="43"/>
      <x:c r="AE268" s="43"/>
      <x:c r="AF268" s="43"/>
      <x:c r="AG268" s="67"/>
      <x:c r="AH268" s="43"/>
      <x:c r="AI268" s="43"/>
    </x:row>
    <x:row r="269">
      <x:c r="A269" s="43"/>
      <x:c r="B269" s="43"/>
      <x:c r="C269" s="43"/>
      <x:c r="D269" s="43" t="str">
        <x:f>IF(C269="","",YEAR(C269))</x:f>
      </x:c>
      <x:c r="E269" s="43" t="str">
        <x:f>IF(C269="","",MONTH(C269))</x:f>
      </x:c>
      <x:c r="F269" s="43" t="str">
        <x:f>IF(C269="","",WEEKNUM(C269,21))</x:f>
      </x:c>
      <x:c r="G269" s="43" t="str">
        <x:f>IF(C269="","",CHOOSE(WEEKDAY(C269,2),"Lundi","Mardi","Mercredi","Jeudi","Vendredi","Samedi","Dimanche"))</x:f>
      </x:c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  <x:c r="AA269" s="43"/>
      <x:c r="AB269" s="43"/>
      <x:c r="AC269" s="43"/>
      <x:c r="AD269" s="43"/>
      <x:c r="AE269" s="43"/>
      <x:c r="AF269" s="43"/>
      <x:c r="AG269" s="67"/>
      <x:c r="AH269" s="43"/>
      <x:c r="AI269" s="43"/>
    </x:row>
    <x:row r="270">
      <x:c r="A270" s="43"/>
      <x:c r="B270" s="43"/>
      <x:c r="C270" s="43"/>
      <x:c r="D270" s="43" t="str">
        <x:f>IF(C270="","",YEAR(C270))</x:f>
      </x:c>
      <x:c r="E270" s="43" t="str">
        <x:f>IF(C270="","",MONTH(C270))</x:f>
      </x:c>
      <x:c r="F270" s="43" t="str">
        <x:f>IF(C270="","",WEEKNUM(C270,21))</x:f>
      </x:c>
      <x:c r="G270" s="43" t="str">
        <x:f>IF(C270="","",CHOOSE(WEEKDAY(C270,2),"Lundi","Mardi","Mercredi","Jeudi","Vendredi","Samedi","Dimanche"))</x:f>
      </x:c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  <x:c r="AA270" s="43"/>
      <x:c r="AB270" s="43"/>
      <x:c r="AC270" s="43"/>
      <x:c r="AD270" s="43"/>
      <x:c r="AE270" s="43"/>
      <x:c r="AF270" s="43"/>
      <x:c r="AG270" s="67"/>
      <x:c r="AH270" s="43"/>
      <x:c r="AI270" s="43"/>
    </x:row>
    <x:row r="271">
      <x:c r="A271" s="43"/>
      <x:c r="B271" s="43"/>
      <x:c r="C271" s="43"/>
      <x:c r="D271" s="43" t="str">
        <x:f>IF(C271="","",YEAR(C271))</x:f>
      </x:c>
      <x:c r="E271" s="43" t="str">
        <x:f>IF(C271="","",MONTH(C271))</x:f>
      </x:c>
      <x:c r="F271" s="43" t="str">
        <x:f>IF(C271="","",WEEKNUM(C271,21))</x:f>
      </x:c>
      <x:c r="G271" s="43" t="str">
        <x:f>IF(C271="","",CHOOSE(WEEKDAY(C271,2),"Lundi","Mardi","Mercredi","Jeudi","Vendredi","Samedi","Dimanche"))</x:f>
      </x:c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  <x:c r="AA271" s="43"/>
      <x:c r="AB271" s="43"/>
      <x:c r="AC271" s="43"/>
      <x:c r="AD271" s="43"/>
      <x:c r="AE271" s="43"/>
      <x:c r="AF271" s="43"/>
      <x:c r="AG271" s="67"/>
      <x:c r="AH271" s="43"/>
      <x:c r="AI271" s="43"/>
    </x:row>
    <x:row r="272">
      <x:c r="A272" s="43"/>
      <x:c r="B272" s="43"/>
      <x:c r="C272" s="43"/>
      <x:c r="D272" s="43" t="str">
        <x:f>IF(C272="","",YEAR(C272))</x:f>
      </x:c>
      <x:c r="E272" s="43" t="str">
        <x:f>IF(C272="","",MONTH(C272))</x:f>
      </x:c>
      <x:c r="F272" s="43" t="str">
        <x:f>IF(C272="","",WEEKNUM(C272,21))</x:f>
      </x:c>
      <x:c r="G272" s="43" t="str">
        <x:f>IF(C272="","",CHOOSE(WEEKDAY(C272,2),"Lundi","Mardi","Mercredi","Jeudi","Vendredi","Samedi","Dimanche"))</x:f>
      </x:c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  <x:c r="AA272" s="43"/>
      <x:c r="AB272" s="43"/>
      <x:c r="AC272" s="43"/>
      <x:c r="AD272" s="43"/>
      <x:c r="AE272" s="43"/>
      <x:c r="AF272" s="43"/>
      <x:c r="AG272" s="67"/>
      <x:c r="AH272" s="43"/>
      <x:c r="AI272" s="43"/>
    </x:row>
    <x:row r="273">
      <x:c r="A273" s="43"/>
      <x:c r="B273" s="43"/>
      <x:c r="C273" s="43"/>
      <x:c r="D273" s="43" t="str">
        <x:f>IF(C273="","",YEAR(C273))</x:f>
      </x:c>
      <x:c r="E273" s="43" t="str">
        <x:f>IF(C273="","",MONTH(C273))</x:f>
      </x:c>
      <x:c r="F273" s="43" t="str">
        <x:f>IF(C273="","",WEEKNUM(C273,21))</x:f>
      </x:c>
      <x:c r="G273" s="43" t="str">
        <x:f>IF(C273="","",CHOOSE(WEEKDAY(C273,2),"Lundi","Mardi","Mercredi","Jeudi","Vendredi","Samedi","Dimanche"))</x:f>
      </x:c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  <x:c r="AA273" s="43"/>
      <x:c r="AB273" s="43"/>
      <x:c r="AC273" s="43"/>
      <x:c r="AD273" s="43"/>
      <x:c r="AE273" s="43"/>
      <x:c r="AF273" s="43"/>
      <x:c r="AG273" s="67"/>
      <x:c r="AH273" s="43"/>
      <x:c r="AI273" s="43"/>
    </x:row>
    <x:row r="274">
      <x:c r="A274" s="43"/>
      <x:c r="B274" s="43"/>
      <x:c r="C274" s="43"/>
      <x:c r="D274" s="43" t="str">
        <x:f>IF(C274="","",YEAR(C274))</x:f>
      </x:c>
      <x:c r="E274" s="43" t="str">
        <x:f>IF(C274="","",MONTH(C274))</x:f>
      </x:c>
      <x:c r="F274" s="43" t="str">
        <x:f>IF(C274="","",WEEKNUM(C274,21))</x:f>
      </x:c>
      <x:c r="G274" s="43" t="str">
        <x:f>IF(C274="","",CHOOSE(WEEKDAY(C274,2),"Lundi","Mardi","Mercredi","Jeudi","Vendredi","Samedi","Dimanche"))</x:f>
      </x:c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  <x:c r="AA274" s="43"/>
      <x:c r="AB274" s="43"/>
      <x:c r="AC274" s="43"/>
      <x:c r="AD274" s="43"/>
      <x:c r="AE274" s="43"/>
      <x:c r="AF274" s="43"/>
      <x:c r="AG274" s="67"/>
      <x:c r="AH274" s="43"/>
      <x:c r="AI274" s="43"/>
    </x:row>
    <x:row r="275">
      <x:c r="A275" s="43"/>
      <x:c r="B275" s="43"/>
      <x:c r="C275" s="43"/>
      <x:c r="D275" s="43" t="str">
        <x:f>IF(C275="","",YEAR(C275))</x:f>
      </x:c>
      <x:c r="E275" s="43" t="str">
        <x:f>IF(C275="","",MONTH(C275))</x:f>
      </x:c>
      <x:c r="F275" s="43" t="str">
        <x:f>IF(C275="","",WEEKNUM(C275,21))</x:f>
      </x:c>
      <x:c r="G275" s="43" t="str">
        <x:f>IF(C275="","",CHOOSE(WEEKDAY(C275,2),"Lundi","Mardi","Mercredi","Jeudi","Vendredi","Samedi","Dimanche"))</x:f>
      </x:c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  <x:c r="AA275" s="43"/>
      <x:c r="AB275" s="43"/>
      <x:c r="AC275" s="43"/>
      <x:c r="AD275" s="43"/>
      <x:c r="AE275" s="43"/>
      <x:c r="AF275" s="43"/>
      <x:c r="AG275" s="67"/>
      <x:c r="AH275" s="43"/>
      <x:c r="AI275" s="43"/>
    </x:row>
    <x:row r="276">
      <x:c r="A276" s="43"/>
      <x:c r="B276" s="43"/>
      <x:c r="C276" s="43"/>
      <x:c r="D276" s="43" t="str">
        <x:f>IF(C276="","",YEAR(C276))</x:f>
      </x:c>
      <x:c r="E276" s="43" t="str">
        <x:f>IF(C276="","",MONTH(C276))</x:f>
      </x:c>
      <x:c r="F276" s="43" t="str">
        <x:f>IF(C276="","",WEEKNUM(C276,21))</x:f>
      </x:c>
      <x:c r="G276" s="43" t="str">
        <x:f>IF(C276="","",CHOOSE(WEEKDAY(C276,2),"Lundi","Mardi","Mercredi","Jeudi","Vendredi","Samedi","Dimanche"))</x:f>
      </x:c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  <x:c r="AA276" s="43"/>
      <x:c r="AB276" s="43"/>
      <x:c r="AC276" s="43"/>
      <x:c r="AD276" s="43"/>
      <x:c r="AE276" s="43"/>
      <x:c r="AF276" s="43"/>
      <x:c r="AG276" s="67"/>
      <x:c r="AH276" s="43"/>
      <x:c r="AI276" s="43"/>
    </x:row>
    <x:row r="277">
      <x:c r="A277" s="43"/>
      <x:c r="B277" s="43"/>
      <x:c r="C277" s="43"/>
      <x:c r="D277" s="43" t="str">
        <x:f>IF(C277="","",YEAR(C277))</x:f>
      </x:c>
      <x:c r="E277" s="43" t="str">
        <x:f>IF(C277="","",MONTH(C277))</x:f>
      </x:c>
      <x:c r="F277" s="43" t="str">
        <x:f>IF(C277="","",WEEKNUM(C277,21))</x:f>
      </x:c>
      <x:c r="G277" s="43" t="str">
        <x:f>IF(C277="","",CHOOSE(WEEKDAY(C277,2),"Lundi","Mardi","Mercredi","Jeudi","Vendredi","Samedi","Dimanche"))</x:f>
      </x:c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  <x:c r="AA277" s="43"/>
      <x:c r="AB277" s="43"/>
      <x:c r="AC277" s="43"/>
      <x:c r="AD277" s="43"/>
      <x:c r="AE277" s="43"/>
      <x:c r="AF277" s="43"/>
      <x:c r="AG277" s="67"/>
      <x:c r="AH277" s="43"/>
      <x:c r="AI277" s="43"/>
    </x:row>
    <x:row r="278">
      <x:c r="A278" s="43"/>
      <x:c r="B278" s="43"/>
      <x:c r="C278" s="43"/>
      <x:c r="D278" s="43" t="str">
        <x:f>IF(C278="","",YEAR(C278))</x:f>
      </x:c>
      <x:c r="E278" s="43" t="str">
        <x:f>IF(C278="","",MONTH(C278))</x:f>
      </x:c>
      <x:c r="F278" s="43" t="str">
        <x:f>IF(C278="","",WEEKNUM(C278,21))</x:f>
      </x:c>
      <x:c r="G278" s="43" t="str">
        <x:f>IF(C278="","",CHOOSE(WEEKDAY(C278,2),"Lundi","Mardi","Mercredi","Jeudi","Vendredi","Samedi","Dimanche"))</x:f>
      </x:c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  <x:c r="AA278" s="43"/>
      <x:c r="AB278" s="43"/>
      <x:c r="AC278" s="43"/>
      <x:c r="AD278" s="43"/>
      <x:c r="AE278" s="43"/>
      <x:c r="AF278" s="43"/>
      <x:c r="AG278" s="67"/>
      <x:c r="AH278" s="43"/>
      <x:c r="AI278" s="43"/>
    </x:row>
    <x:row r="279">
      <x:c r="A279" s="43"/>
      <x:c r="B279" s="43"/>
      <x:c r="C279" s="43"/>
      <x:c r="D279" s="43" t="str">
        <x:f>IF(C279="","",YEAR(C279))</x:f>
      </x:c>
      <x:c r="E279" s="43" t="str">
        <x:f>IF(C279="","",MONTH(C279))</x:f>
      </x:c>
      <x:c r="F279" s="43" t="str">
        <x:f>IF(C279="","",WEEKNUM(C279,21))</x:f>
      </x:c>
      <x:c r="G279" s="43" t="str">
        <x:f>IF(C279="","",CHOOSE(WEEKDAY(C279,2),"Lundi","Mardi","Mercredi","Jeudi","Vendredi","Samedi","Dimanche"))</x:f>
      </x:c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  <x:c r="AA279" s="43"/>
      <x:c r="AB279" s="43"/>
      <x:c r="AC279" s="43"/>
      <x:c r="AD279" s="43"/>
      <x:c r="AE279" s="43"/>
      <x:c r="AF279" s="43"/>
      <x:c r="AG279" s="67"/>
      <x:c r="AH279" s="43"/>
      <x:c r="AI279" s="43"/>
    </x:row>
    <x:row r="280">
      <x:c r="A280" s="43"/>
      <x:c r="B280" s="43"/>
      <x:c r="C280" s="43"/>
      <x:c r="D280" s="43" t="str">
        <x:f>IF(C280="","",YEAR(C280))</x:f>
      </x:c>
      <x:c r="E280" s="43" t="str">
        <x:f>IF(C280="","",MONTH(C280))</x:f>
      </x:c>
      <x:c r="F280" s="43" t="str">
        <x:f>IF(C280="","",WEEKNUM(C280,21))</x:f>
      </x:c>
      <x:c r="G280" s="43" t="str">
        <x:f>IF(C280="","",CHOOSE(WEEKDAY(C280,2),"Lundi","Mardi","Mercredi","Jeudi","Vendredi","Samedi","Dimanche"))</x:f>
      </x:c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  <x:c r="AA280" s="43"/>
      <x:c r="AB280" s="43"/>
      <x:c r="AC280" s="43"/>
      <x:c r="AD280" s="43"/>
      <x:c r="AE280" s="43"/>
      <x:c r="AF280" s="43"/>
      <x:c r="AG280" s="67"/>
      <x:c r="AH280" s="43"/>
      <x:c r="AI280" s="43"/>
    </x:row>
    <x:row r="281">
      <x:c r="A281" s="43"/>
      <x:c r="B281" s="43"/>
      <x:c r="C281" s="43"/>
      <x:c r="D281" s="43" t="str">
        <x:f>IF(C281="","",YEAR(C281))</x:f>
      </x:c>
      <x:c r="E281" s="43" t="str">
        <x:f>IF(C281="","",MONTH(C281))</x:f>
      </x:c>
      <x:c r="F281" s="43" t="str">
        <x:f>IF(C281="","",WEEKNUM(C281,21))</x:f>
      </x:c>
      <x:c r="G281" s="43" t="str">
        <x:f>IF(C281="","",CHOOSE(WEEKDAY(C281,2),"Lundi","Mardi","Mercredi","Jeudi","Vendredi","Samedi","Dimanche"))</x:f>
      </x:c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  <x:c r="AA281" s="43"/>
      <x:c r="AB281" s="43"/>
      <x:c r="AC281" s="43"/>
      <x:c r="AD281" s="43"/>
      <x:c r="AE281" s="43"/>
      <x:c r="AF281" s="43"/>
      <x:c r="AG281" s="67"/>
      <x:c r="AH281" s="43"/>
      <x:c r="AI281" s="43"/>
    </x:row>
    <x:row r="282">
      <x:c r="A282" s="43"/>
      <x:c r="B282" s="43"/>
      <x:c r="C282" s="43"/>
      <x:c r="D282" s="43" t="str">
        <x:f>IF(C282="","",YEAR(C282))</x:f>
      </x:c>
      <x:c r="E282" s="43" t="str">
        <x:f>IF(C282="","",MONTH(C282))</x:f>
      </x:c>
      <x:c r="F282" s="43" t="str">
        <x:f>IF(C282="","",WEEKNUM(C282,21))</x:f>
      </x:c>
      <x:c r="G282" s="43" t="str">
        <x:f>IF(C282="","",CHOOSE(WEEKDAY(C282,2),"Lundi","Mardi","Mercredi","Jeudi","Vendredi","Samedi","Dimanche"))</x:f>
      </x:c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  <x:c r="AA282" s="43"/>
      <x:c r="AB282" s="43"/>
      <x:c r="AC282" s="43"/>
      <x:c r="AD282" s="43"/>
      <x:c r="AE282" s="43"/>
      <x:c r="AF282" s="43"/>
      <x:c r="AG282" s="67"/>
      <x:c r="AH282" s="43"/>
      <x:c r="AI282" s="43"/>
    </x:row>
    <x:row r="283">
      <x:c r="A283" s="43"/>
      <x:c r="B283" s="43"/>
      <x:c r="C283" s="43"/>
      <x:c r="D283" s="43" t="str">
        <x:f>IF(C283="","",YEAR(C283))</x:f>
      </x:c>
      <x:c r="E283" s="43" t="str">
        <x:f>IF(C283="","",MONTH(C283))</x:f>
      </x:c>
      <x:c r="F283" s="43" t="str">
        <x:f>IF(C283="","",WEEKNUM(C283,21))</x:f>
      </x:c>
      <x:c r="G283" s="43" t="str">
        <x:f>IF(C283="","",CHOOSE(WEEKDAY(C283,2),"Lundi","Mardi","Mercredi","Jeudi","Vendredi","Samedi","Dimanche"))</x:f>
      </x:c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  <x:c r="AA283" s="43"/>
      <x:c r="AB283" s="43"/>
      <x:c r="AC283" s="43"/>
      <x:c r="AD283" s="43"/>
      <x:c r="AE283" s="43"/>
      <x:c r="AF283" s="43"/>
      <x:c r="AG283" s="67"/>
      <x:c r="AH283" s="43"/>
      <x:c r="AI283" s="43"/>
    </x:row>
    <x:row r="284">
      <x:c r="A284" s="43"/>
      <x:c r="B284" s="43"/>
      <x:c r="C284" s="43"/>
      <x:c r="D284" s="43" t="str">
        <x:f>IF(C284="","",YEAR(C284))</x:f>
      </x:c>
      <x:c r="E284" s="43" t="str">
        <x:f>IF(C284="","",MONTH(C284))</x:f>
      </x:c>
      <x:c r="F284" s="43" t="str">
        <x:f>IF(C284="","",WEEKNUM(C284,21))</x:f>
      </x:c>
      <x:c r="G284" s="43" t="str">
        <x:f>IF(C284="","",CHOOSE(WEEKDAY(C284,2),"Lundi","Mardi","Mercredi","Jeudi","Vendredi","Samedi","Dimanche"))</x:f>
      </x:c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  <x:c r="AA284" s="43"/>
      <x:c r="AB284" s="43"/>
      <x:c r="AC284" s="43"/>
      <x:c r="AD284" s="43"/>
      <x:c r="AE284" s="43"/>
      <x:c r="AF284" s="43"/>
      <x:c r="AG284" s="67"/>
      <x:c r="AH284" s="43"/>
      <x:c r="AI284" s="43"/>
    </x:row>
    <x:row r="285">
      <x:c r="A285" s="43"/>
      <x:c r="B285" s="43"/>
      <x:c r="C285" s="43"/>
      <x:c r="D285" s="43" t="str">
        <x:f>IF(C285="","",YEAR(C285))</x:f>
      </x:c>
      <x:c r="E285" s="43" t="str">
        <x:f>IF(C285="","",MONTH(C285))</x:f>
      </x:c>
      <x:c r="F285" s="43" t="str">
        <x:f>IF(C285="","",WEEKNUM(C285,21))</x:f>
      </x:c>
      <x:c r="G285" s="43" t="str">
        <x:f>IF(C285="","",CHOOSE(WEEKDAY(C285,2),"Lundi","Mardi","Mercredi","Jeudi","Vendredi","Samedi","Dimanche"))</x:f>
      </x:c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  <x:c r="AA285" s="43"/>
      <x:c r="AB285" s="43"/>
      <x:c r="AC285" s="43"/>
      <x:c r="AD285" s="43"/>
      <x:c r="AE285" s="43"/>
      <x:c r="AF285" s="43"/>
      <x:c r="AG285" s="67"/>
      <x:c r="AH285" s="43"/>
      <x:c r="AI285" s="43"/>
    </x:row>
    <x:row r="286">
      <x:c r="A286" s="43"/>
      <x:c r="B286" s="43"/>
      <x:c r="C286" s="43"/>
      <x:c r="D286" s="43" t="str">
        <x:f>IF(C286="","",YEAR(C286))</x:f>
      </x:c>
      <x:c r="E286" s="43" t="str">
        <x:f>IF(C286="","",MONTH(C286))</x:f>
      </x:c>
      <x:c r="F286" s="43" t="str">
        <x:f>IF(C286="","",WEEKNUM(C286,21))</x:f>
      </x:c>
      <x:c r="G286" s="43" t="str">
        <x:f>IF(C286="","",CHOOSE(WEEKDAY(C286,2),"Lundi","Mardi","Mercredi","Jeudi","Vendredi","Samedi","Dimanche"))</x:f>
      </x:c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  <x:c r="AA286" s="43"/>
      <x:c r="AB286" s="43"/>
      <x:c r="AC286" s="43"/>
      <x:c r="AD286" s="43"/>
      <x:c r="AE286" s="43"/>
      <x:c r="AF286" s="43"/>
      <x:c r="AG286" s="67"/>
      <x:c r="AH286" s="43"/>
      <x:c r="AI286" s="43"/>
    </x:row>
    <x:row r="287">
      <x:c r="A287" s="43"/>
      <x:c r="B287" s="43"/>
      <x:c r="C287" s="43"/>
      <x:c r="D287" s="43" t="str">
        <x:f>IF(C287="","",YEAR(C287))</x:f>
      </x:c>
      <x:c r="E287" s="43" t="str">
        <x:f>IF(C287="","",MONTH(C287))</x:f>
      </x:c>
      <x:c r="F287" s="43" t="str">
        <x:f>IF(C287="","",WEEKNUM(C287,21))</x:f>
      </x:c>
      <x:c r="G287" s="43" t="str">
        <x:f>IF(C287="","",CHOOSE(WEEKDAY(C287,2),"Lundi","Mardi","Mercredi","Jeudi","Vendredi","Samedi","Dimanche"))</x:f>
      </x:c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  <x:c r="AA287" s="43"/>
      <x:c r="AB287" s="43"/>
      <x:c r="AC287" s="43"/>
      <x:c r="AD287" s="43"/>
      <x:c r="AE287" s="43"/>
      <x:c r="AF287" s="43"/>
      <x:c r="AG287" s="67"/>
      <x:c r="AH287" s="43"/>
      <x:c r="AI287" s="43"/>
    </x:row>
    <x:row r="288">
      <x:c r="A288" s="43"/>
      <x:c r="B288" s="43"/>
      <x:c r="C288" s="43"/>
      <x:c r="D288" s="43" t="str">
        <x:f>IF(C288="","",YEAR(C288))</x:f>
      </x:c>
      <x:c r="E288" s="43" t="str">
        <x:f>IF(C288="","",MONTH(C288))</x:f>
      </x:c>
      <x:c r="F288" s="43" t="str">
        <x:f>IF(C288="","",WEEKNUM(C288,21))</x:f>
      </x:c>
      <x:c r="G288" s="43" t="str">
        <x:f>IF(C288="","",CHOOSE(WEEKDAY(C288,2),"Lundi","Mardi","Mercredi","Jeudi","Vendredi","Samedi","Dimanche"))</x:f>
      </x:c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  <x:c r="AA288" s="43"/>
      <x:c r="AB288" s="43"/>
      <x:c r="AC288" s="43"/>
      <x:c r="AD288" s="43"/>
      <x:c r="AE288" s="43"/>
      <x:c r="AF288" s="43"/>
      <x:c r="AG288" s="67"/>
      <x:c r="AH288" s="43"/>
      <x:c r="AI288" s="43"/>
    </x:row>
    <x:row r="289">
      <x:c r="A289" s="43"/>
      <x:c r="B289" s="43"/>
      <x:c r="C289" s="43"/>
      <x:c r="D289" s="43" t="str">
        <x:f>IF(C289="","",YEAR(C289))</x:f>
      </x:c>
      <x:c r="E289" s="43" t="str">
        <x:f>IF(C289="","",MONTH(C289))</x:f>
      </x:c>
      <x:c r="F289" s="43" t="str">
        <x:f>IF(C289="","",WEEKNUM(C289,21))</x:f>
      </x:c>
      <x:c r="G289" s="43" t="str">
        <x:f>IF(C289="","",CHOOSE(WEEKDAY(C289,2),"Lundi","Mardi","Mercredi","Jeudi","Vendredi","Samedi","Dimanche"))</x:f>
      </x:c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  <x:c r="AA289" s="43"/>
      <x:c r="AB289" s="43"/>
      <x:c r="AC289" s="43"/>
      <x:c r="AD289" s="43"/>
      <x:c r="AE289" s="43"/>
      <x:c r="AF289" s="43"/>
      <x:c r="AG289" s="67"/>
      <x:c r="AH289" s="43"/>
      <x:c r="AI289" s="43"/>
    </x:row>
    <x:row r="290">
      <x:c r="A290" s="43"/>
      <x:c r="B290" s="43"/>
      <x:c r="C290" s="43"/>
      <x:c r="D290" s="43" t="str">
        <x:f>IF(C290="","",YEAR(C290))</x:f>
      </x:c>
      <x:c r="E290" s="43" t="str">
        <x:f>IF(C290="","",MONTH(C290))</x:f>
      </x:c>
      <x:c r="F290" s="43" t="str">
        <x:f>IF(C290="","",WEEKNUM(C290,21))</x:f>
      </x:c>
      <x:c r="G290" s="43" t="str">
        <x:f>IF(C290="","",CHOOSE(WEEKDAY(C290,2),"Lundi","Mardi","Mercredi","Jeudi","Vendredi","Samedi","Dimanche"))</x:f>
      </x:c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  <x:c r="AA290" s="43"/>
      <x:c r="AB290" s="43"/>
      <x:c r="AC290" s="43"/>
      <x:c r="AD290" s="43"/>
      <x:c r="AE290" s="43"/>
      <x:c r="AF290" s="43"/>
      <x:c r="AG290" s="67"/>
      <x:c r="AH290" s="43"/>
      <x:c r="AI290" s="43"/>
    </x:row>
    <x:row r="291">
      <x:c r="A291" s="43"/>
      <x:c r="B291" s="43"/>
      <x:c r="C291" s="43"/>
      <x:c r="D291" s="43" t="str">
        <x:f>IF(C291="","",YEAR(C291))</x:f>
      </x:c>
      <x:c r="E291" s="43" t="str">
        <x:f>IF(C291="","",MONTH(C291))</x:f>
      </x:c>
      <x:c r="F291" s="43" t="str">
        <x:f>IF(C291="","",WEEKNUM(C291,21))</x:f>
      </x:c>
      <x:c r="G291" s="43" t="str">
        <x:f>IF(C291="","",CHOOSE(WEEKDAY(C291,2),"Lundi","Mardi","Mercredi","Jeudi","Vendredi","Samedi","Dimanche"))</x:f>
      </x:c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  <x:c r="AA291" s="43"/>
      <x:c r="AB291" s="43"/>
      <x:c r="AC291" s="43"/>
      <x:c r="AD291" s="43"/>
      <x:c r="AE291" s="43"/>
      <x:c r="AF291" s="43"/>
      <x:c r="AG291" s="67"/>
      <x:c r="AH291" s="43"/>
      <x:c r="AI291" s="43"/>
    </x:row>
    <x:row r="292">
      <x:c r="A292" s="43"/>
      <x:c r="B292" s="43"/>
      <x:c r="C292" s="43"/>
      <x:c r="D292" s="43" t="str">
        <x:f>IF(C292="","",YEAR(C292))</x:f>
      </x:c>
      <x:c r="E292" s="43" t="str">
        <x:f>IF(C292="","",MONTH(C292))</x:f>
      </x:c>
      <x:c r="F292" s="43" t="str">
        <x:f>IF(C292="","",WEEKNUM(C292,21))</x:f>
      </x:c>
      <x:c r="G292" s="43" t="str">
        <x:f>IF(C292="","",CHOOSE(WEEKDAY(C292,2),"Lundi","Mardi","Mercredi","Jeudi","Vendredi","Samedi","Dimanche"))</x:f>
      </x:c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  <x:c r="AA292" s="43"/>
      <x:c r="AB292" s="43"/>
      <x:c r="AC292" s="43"/>
      <x:c r="AD292" s="43"/>
      <x:c r="AE292" s="43"/>
      <x:c r="AF292" s="43"/>
      <x:c r="AG292" s="67"/>
      <x:c r="AH292" s="43"/>
      <x:c r="AI292" s="43"/>
    </x:row>
    <x:row r="293">
      <x:c r="A293" s="43"/>
      <x:c r="B293" s="43"/>
      <x:c r="C293" s="43"/>
      <x:c r="D293" s="43" t="str">
        <x:f>IF(C293="","",YEAR(C293))</x:f>
      </x:c>
      <x:c r="E293" s="43" t="str">
        <x:f>IF(C293="","",MONTH(C293))</x:f>
      </x:c>
      <x:c r="F293" s="43" t="str">
        <x:f>IF(C293="","",WEEKNUM(C293,21))</x:f>
      </x:c>
      <x:c r="G293" s="43" t="str">
        <x:f>IF(C293="","",CHOOSE(WEEKDAY(C293,2),"Lundi","Mardi","Mercredi","Jeudi","Vendredi","Samedi","Dimanche"))</x:f>
      </x:c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  <x:c r="AA293" s="43"/>
      <x:c r="AB293" s="43"/>
      <x:c r="AC293" s="43"/>
      <x:c r="AD293" s="43"/>
      <x:c r="AE293" s="43"/>
      <x:c r="AF293" s="43"/>
      <x:c r="AG293" s="67"/>
      <x:c r="AH293" s="43"/>
      <x:c r="AI293" s="43"/>
    </x:row>
    <x:row r="294">
      <x:c r="A294" s="43"/>
      <x:c r="B294" s="43"/>
      <x:c r="C294" s="43"/>
      <x:c r="D294" s="43" t="str">
        <x:f>IF(C294="","",YEAR(C294))</x:f>
      </x:c>
      <x:c r="E294" s="43" t="str">
        <x:f>IF(C294="","",MONTH(C294))</x:f>
      </x:c>
      <x:c r="F294" s="43" t="str">
        <x:f>IF(C294="","",WEEKNUM(C294,21))</x:f>
      </x:c>
      <x:c r="G294" s="43" t="str">
        <x:f>IF(C294="","",CHOOSE(WEEKDAY(C294,2),"Lundi","Mardi","Mercredi","Jeudi","Vendredi","Samedi","Dimanche"))</x:f>
      </x:c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  <x:c r="AA294" s="43"/>
      <x:c r="AB294" s="43"/>
      <x:c r="AC294" s="43"/>
      <x:c r="AD294" s="43"/>
      <x:c r="AE294" s="43"/>
      <x:c r="AF294" s="43"/>
      <x:c r="AG294" s="67"/>
      <x:c r="AH294" s="43"/>
      <x:c r="AI294" s="43"/>
    </x:row>
    <x:row r="295">
      <x:c r="A295" s="43"/>
      <x:c r="B295" s="43"/>
      <x:c r="C295" s="43"/>
      <x:c r="D295" s="43" t="str">
        <x:f>IF(C295="","",YEAR(C295))</x:f>
      </x:c>
      <x:c r="E295" s="43" t="str">
        <x:f>IF(C295="","",MONTH(C295))</x:f>
      </x:c>
      <x:c r="F295" s="43" t="str">
        <x:f>IF(C295="","",WEEKNUM(C295,21))</x:f>
      </x:c>
      <x:c r="G295" s="43" t="str">
        <x:f>IF(C295="","",CHOOSE(WEEKDAY(C295,2),"Lundi","Mardi","Mercredi","Jeudi","Vendredi","Samedi","Dimanche"))</x:f>
      </x:c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  <x:c r="AA295" s="43"/>
      <x:c r="AB295" s="43"/>
      <x:c r="AC295" s="43"/>
      <x:c r="AD295" s="43"/>
      <x:c r="AE295" s="43"/>
      <x:c r="AF295" s="43"/>
      <x:c r="AG295" s="67"/>
      <x:c r="AH295" s="43"/>
      <x:c r="AI295" s="43"/>
    </x:row>
    <x:row r="296">
      <x:c r="A296" s="43"/>
      <x:c r="B296" s="43"/>
      <x:c r="C296" s="43"/>
      <x:c r="D296" s="43" t="str">
        <x:f>IF(C296="","",YEAR(C296))</x:f>
      </x:c>
      <x:c r="E296" s="43" t="str">
        <x:f>IF(C296="","",MONTH(C296))</x:f>
      </x:c>
      <x:c r="F296" s="43" t="str">
        <x:f>IF(C296="","",WEEKNUM(C296,21))</x:f>
      </x:c>
      <x:c r="G296" s="43" t="str">
        <x:f>IF(C296="","",CHOOSE(WEEKDAY(C296,2),"Lundi","Mardi","Mercredi","Jeudi","Vendredi","Samedi","Dimanche"))</x:f>
      </x:c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  <x:c r="AA296" s="43"/>
      <x:c r="AB296" s="43"/>
      <x:c r="AC296" s="43"/>
      <x:c r="AD296" s="43"/>
      <x:c r="AE296" s="43"/>
      <x:c r="AF296" s="43"/>
      <x:c r="AG296" s="67"/>
      <x:c r="AH296" s="43"/>
      <x:c r="AI296" s="43"/>
    </x:row>
    <x:row r="297">
      <x:c r="A297" s="43"/>
      <x:c r="B297" s="43"/>
      <x:c r="C297" s="43"/>
      <x:c r="D297" s="43" t="str">
        <x:f>IF(C297="","",YEAR(C297))</x:f>
      </x:c>
      <x:c r="E297" s="43" t="str">
        <x:f>IF(C297="","",MONTH(C297))</x:f>
      </x:c>
      <x:c r="F297" s="43" t="str">
        <x:f>IF(C297="","",WEEKNUM(C297,21))</x:f>
      </x:c>
      <x:c r="G297" s="43" t="str">
        <x:f>IF(C297="","",CHOOSE(WEEKDAY(C297,2),"Lundi","Mardi","Mercredi","Jeudi","Vendredi","Samedi","Dimanche"))</x:f>
      </x:c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  <x:c r="AA297" s="43"/>
      <x:c r="AB297" s="43"/>
      <x:c r="AC297" s="43"/>
      <x:c r="AD297" s="43"/>
      <x:c r="AE297" s="43"/>
      <x:c r="AF297" s="43"/>
      <x:c r="AG297" s="67"/>
      <x:c r="AH297" s="43"/>
      <x:c r="AI297" s="43"/>
    </x:row>
    <x:row r="298">
      <x:c r="A298" s="43"/>
      <x:c r="B298" s="43"/>
      <x:c r="C298" s="43"/>
      <x:c r="D298" s="43" t="str">
        <x:f>IF(C298="","",YEAR(C298))</x:f>
      </x:c>
      <x:c r="E298" s="43" t="str">
        <x:f>IF(C298="","",MONTH(C298))</x:f>
      </x:c>
      <x:c r="F298" s="43" t="str">
        <x:f>IF(C298="","",WEEKNUM(C298,21))</x:f>
      </x:c>
      <x:c r="G298" s="43" t="str">
        <x:f>IF(C298="","",CHOOSE(WEEKDAY(C298,2),"Lundi","Mardi","Mercredi","Jeudi","Vendredi","Samedi","Dimanche"))</x:f>
      </x:c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  <x:c r="AA298" s="43"/>
      <x:c r="AB298" s="43"/>
      <x:c r="AC298" s="43"/>
      <x:c r="AD298" s="43"/>
      <x:c r="AE298" s="43"/>
      <x:c r="AF298" s="43"/>
      <x:c r="AG298" s="67"/>
      <x:c r="AH298" s="43"/>
      <x:c r="AI298" s="43"/>
    </x:row>
    <x:row r="299">
      <x:c r="A299" s="43"/>
      <x:c r="B299" s="43"/>
      <x:c r="C299" s="43"/>
      <x:c r="D299" s="43" t="str">
        <x:f>IF(C299="","",YEAR(C299))</x:f>
      </x:c>
      <x:c r="E299" s="43" t="str">
        <x:f>IF(C299="","",MONTH(C299))</x:f>
      </x:c>
      <x:c r="F299" s="43" t="str">
        <x:f>IF(C299="","",WEEKNUM(C299,21))</x:f>
      </x:c>
      <x:c r="G299" s="43" t="str">
        <x:f>IF(C299="","",CHOOSE(WEEKDAY(C299,2),"Lundi","Mardi","Mercredi","Jeudi","Vendredi","Samedi","Dimanche"))</x:f>
      </x:c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  <x:c r="AA299" s="43"/>
      <x:c r="AB299" s="43"/>
      <x:c r="AC299" s="43"/>
      <x:c r="AD299" s="43"/>
      <x:c r="AE299" s="43"/>
      <x:c r="AF299" s="43"/>
      <x:c r="AG299" s="67"/>
      <x:c r="AH299" s="43"/>
      <x:c r="AI299" s="43"/>
    </x:row>
    <x:row r="300">
      <x:c r="A300" s="43"/>
      <x:c r="B300" s="43"/>
      <x:c r="C300" s="43"/>
      <x:c r="D300" s="43" t="str">
        <x:f>IF(C300="","",YEAR(C300))</x:f>
      </x:c>
      <x:c r="E300" s="43" t="str">
        <x:f>IF(C300="","",MONTH(C300))</x:f>
      </x:c>
      <x:c r="F300" s="43" t="str">
        <x:f>IF(C300="","",WEEKNUM(C300,21))</x:f>
      </x:c>
      <x:c r="G300" s="43" t="str">
        <x:f>IF(C300="","",CHOOSE(WEEKDAY(C300,2),"Lundi","Mardi","Mercredi","Jeudi","Vendredi","Samedi","Dimanche"))</x:f>
      </x:c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  <x:c r="AA300" s="43"/>
      <x:c r="AB300" s="43"/>
      <x:c r="AC300" s="43"/>
      <x:c r="AD300" s="43"/>
      <x:c r="AE300" s="43"/>
      <x:c r="AF300" s="43"/>
      <x:c r="AG300" s="67"/>
      <x:c r="AH300" s="43"/>
      <x:c r="AI300" s="43"/>
    </x:row>
    <x:row r="301">
      <x:c r="A301" s="43"/>
      <x:c r="B301" s="43"/>
      <x:c r="C301" s="43"/>
      <x:c r="D301" s="43" t="str">
        <x:f>IF(C301="","",YEAR(C301))</x:f>
      </x:c>
      <x:c r="E301" s="43" t="str">
        <x:f>IF(C301="","",MONTH(C301))</x:f>
      </x:c>
      <x:c r="F301" s="43" t="str">
        <x:f>IF(C301="","",WEEKNUM(C301,21))</x:f>
      </x:c>
      <x:c r="G301" s="43" t="str">
        <x:f>IF(C301="","",CHOOSE(WEEKDAY(C301,2),"Lundi","Mardi","Mercredi","Jeudi","Vendredi","Samedi","Dimanche"))</x:f>
      </x:c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  <x:c r="AA301" s="43"/>
      <x:c r="AB301" s="43"/>
      <x:c r="AC301" s="43"/>
      <x:c r="AD301" s="43"/>
      <x:c r="AE301" s="43"/>
      <x:c r="AF301" s="43"/>
      <x:c r="AG301" s="67"/>
      <x:c r="AH301" s="43"/>
      <x:c r="AI301" s="43"/>
    </x:row>
    <x:row r="302">
      <x:c r="A302" s="43"/>
      <x:c r="B302" s="43"/>
      <x:c r="C302" s="43"/>
      <x:c r="D302" s="43" t="str">
        <x:f>IF(C302="","",YEAR(C302))</x:f>
      </x:c>
      <x:c r="E302" s="43" t="str">
        <x:f>IF(C302="","",MONTH(C302))</x:f>
      </x:c>
      <x:c r="F302" s="43" t="str">
        <x:f>IF(C302="","",WEEKNUM(C302,21))</x:f>
      </x:c>
      <x:c r="G302" s="43" t="str">
        <x:f>IF(C302="","",CHOOSE(WEEKDAY(C302,2),"Lundi","Mardi","Mercredi","Jeudi","Vendredi","Samedi","Dimanche"))</x:f>
      </x:c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  <x:c r="AA302" s="43"/>
      <x:c r="AB302" s="43"/>
      <x:c r="AC302" s="43"/>
      <x:c r="AD302" s="43"/>
      <x:c r="AE302" s="43"/>
      <x:c r="AF302" s="43"/>
      <x:c r="AG302" s="67"/>
      <x:c r="AH302" s="43"/>
      <x:c r="AI302" s="43"/>
    </x:row>
    <x:row r="303">
      <x:c r="A303" s="43"/>
      <x:c r="B303" s="43"/>
      <x:c r="C303" s="43"/>
      <x:c r="D303" s="43" t="str">
        <x:f>IF(C303="","",YEAR(C303))</x:f>
      </x:c>
      <x:c r="E303" s="43" t="str">
        <x:f>IF(C303="","",MONTH(C303))</x:f>
      </x:c>
      <x:c r="F303" s="43" t="str">
        <x:f>IF(C303="","",WEEKNUM(C303,21))</x:f>
      </x:c>
      <x:c r="G303" s="43" t="str">
        <x:f>IF(C303="","",CHOOSE(WEEKDAY(C303,2),"Lundi","Mardi","Mercredi","Jeudi","Vendredi","Samedi","Dimanche"))</x:f>
      </x:c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  <x:c r="AA303" s="43"/>
      <x:c r="AB303" s="43"/>
      <x:c r="AC303" s="43"/>
      <x:c r="AD303" s="43"/>
      <x:c r="AE303" s="43"/>
      <x:c r="AF303" s="43"/>
      <x:c r="AG303" s="67"/>
      <x:c r="AH303" s="43"/>
      <x:c r="AI303" s="43"/>
    </x:row>
    <x:row r="304">
      <x:c r="A304" s="43"/>
      <x:c r="B304" s="43"/>
      <x:c r="C304" s="43"/>
      <x:c r="D304" s="43" t="str">
        <x:f>IF(C304="","",YEAR(C304))</x:f>
      </x:c>
      <x:c r="E304" s="43" t="str">
        <x:f>IF(C304="","",MONTH(C304))</x:f>
      </x:c>
      <x:c r="F304" s="43" t="str">
        <x:f>IF(C304="","",WEEKNUM(C304,21))</x:f>
      </x:c>
      <x:c r="G304" s="43" t="str">
        <x:f>IF(C304="","",CHOOSE(WEEKDAY(C304,2),"Lundi","Mardi","Mercredi","Jeudi","Vendredi","Samedi","Dimanche"))</x:f>
      </x:c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  <x:c r="AA304" s="43"/>
      <x:c r="AB304" s="43"/>
      <x:c r="AC304" s="43"/>
      <x:c r="AD304" s="43"/>
      <x:c r="AE304" s="43"/>
      <x:c r="AF304" s="43"/>
      <x:c r="AG304" s="67"/>
      <x:c r="AH304" s="43"/>
      <x:c r="AI304" s="43"/>
    </x:row>
    <x:row r="305">
      <x:c r="A305" s="43"/>
      <x:c r="B305" s="43"/>
      <x:c r="C305" s="43"/>
      <x:c r="D305" s="43" t="str">
        <x:f>IF(C305="","",YEAR(C305))</x:f>
      </x:c>
      <x:c r="E305" s="43" t="str">
        <x:f>IF(C305="","",MONTH(C305))</x:f>
      </x:c>
      <x:c r="F305" s="43" t="str">
        <x:f>IF(C305="","",WEEKNUM(C305,21))</x:f>
      </x:c>
      <x:c r="G305" s="43" t="str">
        <x:f>IF(C305="","",CHOOSE(WEEKDAY(C305,2),"Lundi","Mardi","Mercredi","Jeudi","Vendredi","Samedi","Dimanche"))</x:f>
      </x:c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  <x:c r="AA305" s="43"/>
      <x:c r="AB305" s="43"/>
      <x:c r="AC305" s="43"/>
      <x:c r="AD305" s="43"/>
      <x:c r="AE305" s="43"/>
      <x:c r="AF305" s="43"/>
      <x:c r="AG305" s="67"/>
      <x:c r="AH305" s="43"/>
      <x:c r="AI305" s="43"/>
    </x:row>
    <x:row r="306">
      <x:c r="A306" s="43"/>
      <x:c r="B306" s="43"/>
      <x:c r="C306" s="43"/>
      <x:c r="D306" s="43" t="str">
        <x:f>IF(C306="","",YEAR(C306))</x:f>
      </x:c>
      <x:c r="E306" s="43" t="str">
        <x:f>IF(C306="","",MONTH(C306))</x:f>
      </x:c>
      <x:c r="F306" s="43" t="str">
        <x:f>IF(C306="","",WEEKNUM(C306,21))</x:f>
      </x:c>
      <x:c r="G306" s="43" t="str">
        <x:f>IF(C306="","",CHOOSE(WEEKDAY(C306,2),"Lundi","Mardi","Mercredi","Jeudi","Vendredi","Samedi","Dimanche"))</x:f>
      </x:c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  <x:c r="AA306" s="43"/>
      <x:c r="AB306" s="43"/>
      <x:c r="AC306" s="43"/>
      <x:c r="AD306" s="43"/>
      <x:c r="AE306" s="43"/>
      <x:c r="AF306" s="43"/>
      <x:c r="AG306" s="67"/>
      <x:c r="AH306" s="43"/>
      <x:c r="AI306" s="43"/>
    </x:row>
    <x:row r="307">
      <x:c r="A307" s="43"/>
      <x:c r="B307" s="43"/>
      <x:c r="C307" s="43"/>
      <x:c r="D307" s="43" t="str">
        <x:f>IF(C307="","",YEAR(C307))</x:f>
      </x:c>
      <x:c r="E307" s="43" t="str">
        <x:f>IF(C307="","",MONTH(C307))</x:f>
      </x:c>
      <x:c r="F307" s="43" t="str">
        <x:f>IF(C307="","",WEEKNUM(C307,21))</x:f>
      </x:c>
      <x:c r="G307" s="43" t="str">
        <x:f>IF(C307="","",CHOOSE(WEEKDAY(C307,2),"Lundi","Mardi","Mercredi","Jeudi","Vendredi","Samedi","Dimanche"))</x:f>
      </x:c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  <x:c r="AA307" s="43"/>
      <x:c r="AB307" s="43"/>
      <x:c r="AC307" s="43"/>
      <x:c r="AD307" s="43"/>
      <x:c r="AE307" s="43"/>
      <x:c r="AF307" s="43"/>
      <x:c r="AG307" s="67"/>
      <x:c r="AH307" s="43"/>
      <x:c r="AI307" s="43"/>
    </x:row>
    <x:row r="308">
      <x:c r="A308" s="43"/>
      <x:c r="B308" s="43"/>
      <x:c r="C308" s="43"/>
      <x:c r="D308" s="43" t="str">
        <x:f>IF(C308="","",YEAR(C308))</x:f>
      </x:c>
      <x:c r="E308" s="43" t="str">
        <x:f>IF(C308="","",MONTH(C308))</x:f>
      </x:c>
      <x:c r="F308" s="43" t="str">
        <x:f>IF(C308="","",WEEKNUM(C308,21))</x:f>
      </x:c>
      <x:c r="G308" s="43" t="str">
        <x:f>IF(C308="","",CHOOSE(WEEKDAY(C308,2),"Lundi","Mardi","Mercredi","Jeudi","Vendredi","Samedi","Dimanche"))</x:f>
      </x:c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  <x:c r="AA308" s="43"/>
      <x:c r="AB308" s="43"/>
      <x:c r="AC308" s="43"/>
      <x:c r="AD308" s="43"/>
      <x:c r="AE308" s="43"/>
      <x:c r="AF308" s="43"/>
      <x:c r="AG308" s="67"/>
      <x:c r="AH308" s="43"/>
      <x:c r="AI308" s="43"/>
    </x:row>
    <x:row r="309">
      <x:c r="A309" s="43"/>
      <x:c r="B309" s="43"/>
      <x:c r="C309" s="43"/>
      <x:c r="D309" s="43" t="str">
        <x:f>IF(C309="","",YEAR(C309))</x:f>
      </x:c>
      <x:c r="E309" s="43" t="str">
        <x:f>IF(C309="","",MONTH(C309))</x:f>
      </x:c>
      <x:c r="F309" s="43" t="str">
        <x:f>IF(C309="","",WEEKNUM(C309,21))</x:f>
      </x:c>
      <x:c r="G309" s="43" t="str">
        <x:f>IF(C309="","",CHOOSE(WEEKDAY(C309,2),"Lundi","Mardi","Mercredi","Jeudi","Vendredi","Samedi","Dimanche"))</x:f>
      </x:c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  <x:c r="AA309" s="43"/>
      <x:c r="AB309" s="43"/>
      <x:c r="AC309" s="43"/>
      <x:c r="AD309" s="43"/>
      <x:c r="AE309" s="43"/>
      <x:c r="AF309" s="43"/>
      <x:c r="AG309" s="67"/>
      <x:c r="AH309" s="43"/>
      <x:c r="AI309" s="43"/>
    </x:row>
    <x:row r="310">
      <x:c r="A310" s="43"/>
      <x:c r="B310" s="43"/>
      <x:c r="C310" s="43"/>
      <x:c r="D310" s="43" t="str">
        <x:f>IF(C310="","",YEAR(C310))</x:f>
      </x:c>
      <x:c r="E310" s="43" t="str">
        <x:f>IF(C310="","",MONTH(C310))</x:f>
      </x:c>
      <x:c r="F310" s="43" t="str">
        <x:f>IF(C310="","",WEEKNUM(C310,21))</x:f>
      </x:c>
      <x:c r="G310" s="43" t="str">
        <x:f>IF(C310="","",CHOOSE(WEEKDAY(C310,2),"Lundi","Mardi","Mercredi","Jeudi","Vendredi","Samedi","Dimanche"))</x:f>
      </x:c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  <x:c r="AA310" s="43"/>
      <x:c r="AB310" s="43"/>
      <x:c r="AC310" s="43"/>
      <x:c r="AD310" s="43"/>
      <x:c r="AE310" s="43"/>
      <x:c r="AF310" s="43"/>
      <x:c r="AG310" s="67"/>
      <x:c r="AH310" s="43"/>
      <x:c r="AI310" s="43"/>
    </x:row>
    <x:row r="311">
      <x:c r="A311" s="43"/>
      <x:c r="B311" s="43"/>
      <x:c r="C311" s="43"/>
      <x:c r="D311" s="43" t="str">
        <x:f>IF(C311="","",YEAR(C311))</x:f>
      </x:c>
      <x:c r="E311" s="43" t="str">
        <x:f>IF(C311="","",MONTH(C311))</x:f>
      </x:c>
      <x:c r="F311" s="43" t="str">
        <x:f>IF(C311="","",WEEKNUM(C311,21))</x:f>
      </x:c>
      <x:c r="G311" s="43" t="str">
        <x:f>IF(C311="","",CHOOSE(WEEKDAY(C311,2),"Lundi","Mardi","Mercredi","Jeudi","Vendredi","Samedi","Dimanche"))</x:f>
      </x:c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  <x:c r="AA311" s="43"/>
      <x:c r="AB311" s="43"/>
      <x:c r="AC311" s="43"/>
      <x:c r="AD311" s="43"/>
      <x:c r="AE311" s="43"/>
      <x:c r="AF311" s="43"/>
      <x:c r="AG311" s="67"/>
      <x:c r="AH311" s="43"/>
      <x:c r="AI311" s="43"/>
    </x:row>
    <x:row r="312">
      <x:c r="A312" s="43"/>
      <x:c r="B312" s="43"/>
      <x:c r="C312" s="43"/>
      <x:c r="D312" s="43" t="str">
        <x:f>IF(C312="","",YEAR(C312))</x:f>
      </x:c>
      <x:c r="E312" s="43" t="str">
        <x:f>IF(C312="","",MONTH(C312))</x:f>
      </x:c>
      <x:c r="F312" s="43" t="str">
        <x:f>IF(C312="","",WEEKNUM(C312,21))</x:f>
      </x:c>
      <x:c r="G312" s="43" t="str">
        <x:f>IF(C312="","",CHOOSE(WEEKDAY(C312,2),"Lundi","Mardi","Mercredi","Jeudi","Vendredi","Samedi","Dimanche"))</x:f>
      </x:c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  <x:c r="AA312" s="43"/>
      <x:c r="AB312" s="43"/>
      <x:c r="AC312" s="43"/>
      <x:c r="AD312" s="43"/>
      <x:c r="AE312" s="43"/>
      <x:c r="AF312" s="43"/>
      <x:c r="AG312" s="67"/>
      <x:c r="AH312" s="43"/>
      <x:c r="AI312" s="43"/>
    </x:row>
    <x:row r="313">
      <x:c r="A313" s="43"/>
      <x:c r="B313" s="43"/>
      <x:c r="C313" s="43"/>
      <x:c r="D313" s="43" t="str">
        <x:f>IF(C313="","",YEAR(C313))</x:f>
      </x:c>
      <x:c r="E313" s="43" t="str">
        <x:f>IF(C313="","",MONTH(C313))</x:f>
      </x:c>
      <x:c r="F313" s="43" t="str">
        <x:f>IF(C313="","",WEEKNUM(C313,21))</x:f>
      </x:c>
      <x:c r="G313" s="43" t="str">
        <x:f>IF(C313="","",CHOOSE(WEEKDAY(C313,2),"Lundi","Mardi","Mercredi","Jeudi","Vendredi","Samedi","Dimanche"))</x:f>
      </x:c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  <x:c r="AA313" s="43"/>
      <x:c r="AB313" s="43"/>
      <x:c r="AC313" s="43"/>
      <x:c r="AD313" s="43"/>
      <x:c r="AE313" s="43"/>
      <x:c r="AF313" s="43"/>
      <x:c r="AG313" s="67"/>
      <x:c r="AH313" s="43"/>
      <x:c r="AI313" s="43"/>
    </x:row>
    <x:row r="314">
      <x:c r="A314" s="43"/>
      <x:c r="B314" s="43"/>
      <x:c r="C314" s="43"/>
      <x:c r="D314" s="43" t="str">
        <x:f>IF(C314="","",YEAR(C314))</x:f>
      </x:c>
      <x:c r="E314" s="43" t="str">
        <x:f>IF(C314="","",MONTH(C314))</x:f>
      </x:c>
      <x:c r="F314" s="43" t="str">
        <x:f>IF(C314="","",WEEKNUM(C314,21))</x:f>
      </x:c>
      <x:c r="G314" s="43" t="str">
        <x:f>IF(C314="","",CHOOSE(WEEKDAY(C314,2),"Lundi","Mardi","Mercredi","Jeudi","Vendredi","Samedi","Dimanche"))</x:f>
      </x:c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  <x:c r="AA314" s="43"/>
      <x:c r="AB314" s="43"/>
      <x:c r="AC314" s="43"/>
      <x:c r="AD314" s="43"/>
      <x:c r="AE314" s="43"/>
      <x:c r="AF314" s="43"/>
      <x:c r="AG314" s="67"/>
      <x:c r="AH314" s="43"/>
      <x:c r="AI314" s="43"/>
    </x:row>
    <x:row r="315">
      <x:c r="A315" s="43"/>
      <x:c r="B315" s="43"/>
      <x:c r="C315" s="43"/>
      <x:c r="D315" s="43" t="str">
        <x:f>IF(C315="","",YEAR(C315))</x:f>
      </x:c>
      <x:c r="E315" s="43" t="str">
        <x:f>IF(C315="","",MONTH(C315))</x:f>
      </x:c>
      <x:c r="F315" s="43" t="str">
        <x:f>IF(C315="","",WEEKNUM(C315,21))</x:f>
      </x:c>
      <x:c r="G315" s="43" t="str">
        <x:f>IF(C315="","",CHOOSE(WEEKDAY(C315,2),"Lundi","Mardi","Mercredi","Jeudi","Vendredi","Samedi","Dimanche"))</x:f>
      </x:c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  <x:c r="AA315" s="43"/>
      <x:c r="AB315" s="43"/>
      <x:c r="AC315" s="43"/>
      <x:c r="AD315" s="43"/>
      <x:c r="AE315" s="43"/>
      <x:c r="AF315" s="43"/>
      <x:c r="AG315" s="67"/>
      <x:c r="AH315" s="43"/>
      <x:c r="AI315" s="43"/>
    </x:row>
    <x:row r="316">
      <x:c r="A316" s="43"/>
      <x:c r="B316" s="43"/>
      <x:c r="C316" s="43"/>
      <x:c r="D316" s="43" t="str">
        <x:f>IF(C316="","",YEAR(C316))</x:f>
      </x:c>
      <x:c r="E316" s="43" t="str">
        <x:f>IF(C316="","",MONTH(C316))</x:f>
      </x:c>
      <x:c r="F316" s="43" t="str">
        <x:f>IF(C316="","",WEEKNUM(C316,21))</x:f>
      </x:c>
      <x:c r="G316" s="43" t="str">
        <x:f>IF(C316="","",CHOOSE(WEEKDAY(C316,2),"Lundi","Mardi","Mercredi","Jeudi","Vendredi","Samedi","Dimanche"))</x:f>
      </x:c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  <x:c r="AA316" s="43"/>
      <x:c r="AB316" s="43"/>
      <x:c r="AC316" s="43"/>
      <x:c r="AD316" s="43"/>
      <x:c r="AE316" s="43"/>
      <x:c r="AF316" s="43"/>
      <x:c r="AG316" s="67"/>
      <x:c r="AH316" s="43"/>
      <x:c r="AI316" s="43"/>
    </x:row>
    <x:row r="317">
      <x:c r="A317" s="43"/>
      <x:c r="B317" s="43"/>
      <x:c r="C317" s="43"/>
      <x:c r="D317" s="43" t="str">
        <x:f>IF(C317="","",YEAR(C317))</x:f>
      </x:c>
      <x:c r="E317" s="43" t="str">
        <x:f>IF(C317="","",MONTH(C317))</x:f>
      </x:c>
      <x:c r="F317" s="43" t="str">
        <x:f>IF(C317="","",WEEKNUM(C317,21))</x:f>
      </x:c>
      <x:c r="G317" s="43" t="str">
        <x:f>IF(C317="","",CHOOSE(WEEKDAY(C317,2),"Lundi","Mardi","Mercredi","Jeudi","Vendredi","Samedi","Dimanche"))</x:f>
      </x:c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  <x:c r="AA317" s="43"/>
      <x:c r="AB317" s="43"/>
      <x:c r="AC317" s="43"/>
      <x:c r="AD317" s="43"/>
      <x:c r="AE317" s="43"/>
      <x:c r="AF317" s="43"/>
      <x:c r="AG317" s="67"/>
      <x:c r="AH317" s="43"/>
      <x:c r="AI317" s="43"/>
    </x:row>
    <x:row r="318">
      <x:c r="A318" s="43"/>
      <x:c r="B318" s="43"/>
      <x:c r="C318" s="43"/>
      <x:c r="D318" s="43" t="str">
        <x:f>IF(C318="","",YEAR(C318))</x:f>
      </x:c>
      <x:c r="E318" s="43" t="str">
        <x:f>IF(C318="","",MONTH(C318))</x:f>
      </x:c>
      <x:c r="F318" s="43" t="str">
        <x:f>IF(C318="","",WEEKNUM(C318,21))</x:f>
      </x:c>
      <x:c r="G318" s="43" t="str">
        <x:f>IF(C318="","",CHOOSE(WEEKDAY(C318,2),"Lundi","Mardi","Mercredi","Jeudi","Vendredi","Samedi","Dimanche"))</x:f>
      </x:c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  <x:c r="AA318" s="43"/>
      <x:c r="AB318" s="43"/>
      <x:c r="AC318" s="43"/>
      <x:c r="AD318" s="43"/>
      <x:c r="AE318" s="43"/>
      <x:c r="AF318" s="43"/>
      <x:c r="AG318" s="67"/>
      <x:c r="AH318" s="43"/>
      <x:c r="AI318" s="43"/>
    </x:row>
    <x:row r="319">
      <x:c r="A319" s="43"/>
      <x:c r="B319" s="43"/>
      <x:c r="C319" s="43"/>
      <x:c r="D319" s="43" t="str">
        <x:f>IF(C319="","",YEAR(C319))</x:f>
      </x:c>
      <x:c r="E319" s="43" t="str">
        <x:f>IF(C319="","",MONTH(C319))</x:f>
      </x:c>
      <x:c r="F319" s="43" t="str">
        <x:f>IF(C319="","",WEEKNUM(C319,21))</x:f>
      </x:c>
      <x:c r="G319" s="43" t="str">
        <x:f>IF(C319="","",CHOOSE(WEEKDAY(C319,2),"Lundi","Mardi","Mercredi","Jeudi","Vendredi","Samedi","Dimanche"))</x:f>
      </x:c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  <x:c r="AA319" s="43"/>
      <x:c r="AB319" s="43"/>
      <x:c r="AC319" s="43"/>
      <x:c r="AD319" s="43"/>
      <x:c r="AE319" s="43"/>
      <x:c r="AF319" s="43"/>
      <x:c r="AG319" s="67"/>
      <x:c r="AH319" s="43"/>
      <x:c r="AI319" s="43"/>
    </x:row>
    <x:row r="320">
      <x:c r="A320" s="43"/>
      <x:c r="B320" s="43"/>
      <x:c r="C320" s="43"/>
      <x:c r="D320" s="43" t="str">
        <x:f>IF(C320="","",YEAR(C320))</x:f>
      </x:c>
      <x:c r="E320" s="43" t="str">
        <x:f>IF(C320="","",MONTH(C320))</x:f>
      </x:c>
      <x:c r="F320" s="43" t="str">
        <x:f>IF(C320="","",WEEKNUM(C320,21))</x:f>
      </x:c>
      <x:c r="G320" s="43" t="str">
        <x:f>IF(C320="","",CHOOSE(WEEKDAY(C320,2),"Lundi","Mardi","Mercredi","Jeudi","Vendredi","Samedi","Dimanche"))</x:f>
      </x:c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  <x:c r="AA320" s="43"/>
      <x:c r="AB320" s="43"/>
      <x:c r="AC320" s="43"/>
      <x:c r="AD320" s="43"/>
      <x:c r="AE320" s="43"/>
      <x:c r="AF320" s="43"/>
      <x:c r="AG320" s="67"/>
      <x:c r="AH320" s="43"/>
      <x:c r="AI320" s="43"/>
    </x:row>
    <x:row r="321">
      <x:c r="A321" s="43"/>
      <x:c r="B321" s="43"/>
      <x:c r="C321" s="43"/>
      <x:c r="D321" s="43" t="str">
        <x:f>IF(C321="","",YEAR(C321))</x:f>
      </x:c>
      <x:c r="E321" s="43" t="str">
        <x:f>IF(C321="","",MONTH(C321))</x:f>
      </x:c>
      <x:c r="F321" s="43" t="str">
        <x:f>IF(C321="","",WEEKNUM(C321,21))</x:f>
      </x:c>
      <x:c r="G321" s="43" t="str">
        <x:f>IF(C321="","",CHOOSE(WEEKDAY(C321,2),"Lundi","Mardi","Mercredi","Jeudi","Vendredi","Samedi","Dimanche"))</x:f>
      </x:c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  <x:c r="AA321" s="43"/>
      <x:c r="AB321" s="43"/>
      <x:c r="AC321" s="43"/>
      <x:c r="AD321" s="43"/>
      <x:c r="AE321" s="43"/>
      <x:c r="AF321" s="43"/>
      <x:c r="AG321" s="67"/>
      <x:c r="AH321" s="43"/>
      <x:c r="AI321" s="43"/>
    </x:row>
    <x:row r="322">
      <x:c r="A322" s="43"/>
      <x:c r="B322" s="43"/>
      <x:c r="C322" s="43"/>
      <x:c r="D322" s="43" t="str">
        <x:f>IF(C322="","",YEAR(C322))</x:f>
      </x:c>
      <x:c r="E322" s="43" t="str">
        <x:f>IF(C322="","",MONTH(C322))</x:f>
      </x:c>
      <x:c r="F322" s="43" t="str">
        <x:f>IF(C322="","",WEEKNUM(C322,21))</x:f>
      </x:c>
      <x:c r="G322" s="43" t="str">
        <x:f>IF(C322="","",CHOOSE(WEEKDAY(C322,2),"Lundi","Mardi","Mercredi","Jeudi","Vendredi","Samedi","Dimanche"))</x:f>
      </x:c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  <x:c r="AA322" s="43"/>
      <x:c r="AB322" s="43"/>
      <x:c r="AC322" s="43"/>
      <x:c r="AD322" s="43"/>
      <x:c r="AE322" s="43"/>
      <x:c r="AF322" s="43"/>
      <x:c r="AG322" s="67"/>
      <x:c r="AH322" s="43"/>
      <x:c r="AI322" s="43"/>
    </x:row>
    <x:row r="323">
      <x:c r="A323" s="43"/>
      <x:c r="B323" s="43"/>
      <x:c r="C323" s="43"/>
      <x:c r="D323" s="43" t="str">
        <x:f>IF(C323="","",YEAR(C323))</x:f>
      </x:c>
      <x:c r="E323" s="43" t="str">
        <x:f>IF(C323="","",MONTH(C323))</x:f>
      </x:c>
      <x:c r="F323" s="43" t="str">
        <x:f>IF(C323="","",WEEKNUM(C323,21))</x:f>
      </x:c>
      <x:c r="G323" s="43" t="str">
        <x:f>IF(C323="","",CHOOSE(WEEKDAY(C323,2),"Lundi","Mardi","Mercredi","Jeudi","Vendredi","Samedi","Dimanche"))</x:f>
      </x:c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  <x:c r="AA323" s="43"/>
      <x:c r="AB323" s="43"/>
      <x:c r="AC323" s="43"/>
      <x:c r="AD323" s="43"/>
      <x:c r="AE323" s="43"/>
      <x:c r="AF323" s="43"/>
      <x:c r="AG323" s="67"/>
      <x:c r="AH323" s="43"/>
      <x:c r="AI323" s="43"/>
    </x:row>
    <x:row r="324">
      <x:c r="A324" s="43"/>
      <x:c r="B324" s="43"/>
      <x:c r="C324" s="43"/>
      <x:c r="D324" s="43" t="str">
        <x:f>IF(C324="","",YEAR(C324))</x:f>
      </x:c>
      <x:c r="E324" s="43" t="str">
        <x:f>IF(C324="","",MONTH(C324))</x:f>
      </x:c>
      <x:c r="F324" s="43" t="str">
        <x:f>IF(C324="","",WEEKNUM(C324,21))</x:f>
      </x:c>
      <x:c r="G324" s="43" t="str">
        <x:f>IF(C324="","",CHOOSE(WEEKDAY(C324,2),"Lundi","Mardi","Mercredi","Jeudi","Vendredi","Samedi","Dimanche"))</x:f>
      </x:c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  <x:c r="AA324" s="43"/>
      <x:c r="AB324" s="43"/>
      <x:c r="AC324" s="43"/>
      <x:c r="AD324" s="43"/>
      <x:c r="AE324" s="43"/>
      <x:c r="AF324" s="43"/>
      <x:c r="AG324" s="67"/>
      <x:c r="AH324" s="43"/>
      <x:c r="AI324" s="43"/>
    </x:row>
    <x:row r="325">
      <x:c r="A325" s="43"/>
      <x:c r="B325" s="43"/>
      <x:c r="C325" s="43"/>
      <x:c r="D325" s="43" t="str">
        <x:f>IF(C325="","",YEAR(C325))</x:f>
      </x:c>
      <x:c r="E325" s="43" t="str">
        <x:f>IF(C325="","",MONTH(C325))</x:f>
      </x:c>
      <x:c r="F325" s="43" t="str">
        <x:f>IF(C325="","",WEEKNUM(C325,21))</x:f>
      </x:c>
      <x:c r="G325" s="43" t="str">
        <x:f>IF(C325="","",CHOOSE(WEEKDAY(C325,2),"Lundi","Mardi","Mercredi","Jeudi","Vendredi","Samedi","Dimanche"))</x:f>
      </x:c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  <x:c r="AA325" s="43"/>
      <x:c r="AB325" s="43"/>
      <x:c r="AC325" s="43"/>
      <x:c r="AD325" s="43"/>
      <x:c r="AE325" s="43"/>
      <x:c r="AF325" s="43"/>
      <x:c r="AG325" s="67"/>
      <x:c r="AH325" s="43"/>
      <x:c r="AI325" s="43"/>
    </x:row>
    <x:row r="326">
      <x:c r="A326" s="43"/>
      <x:c r="B326" s="43"/>
      <x:c r="C326" s="43"/>
      <x:c r="D326" s="43" t="str">
        <x:f>IF(C326="","",YEAR(C326))</x:f>
      </x:c>
      <x:c r="E326" s="43" t="str">
        <x:f>IF(C326="","",MONTH(C326))</x:f>
      </x:c>
      <x:c r="F326" s="43" t="str">
        <x:f>IF(C326="","",WEEKNUM(C326,21))</x:f>
      </x:c>
      <x:c r="G326" s="43" t="str">
        <x:f>IF(C326="","",CHOOSE(WEEKDAY(C326,2),"Lundi","Mardi","Mercredi","Jeudi","Vendredi","Samedi","Dimanche"))</x:f>
      </x:c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  <x:c r="AA326" s="43"/>
      <x:c r="AB326" s="43"/>
      <x:c r="AC326" s="43"/>
      <x:c r="AD326" s="43"/>
      <x:c r="AE326" s="43"/>
      <x:c r="AF326" s="43"/>
      <x:c r="AG326" s="67"/>
      <x:c r="AH326" s="43"/>
      <x:c r="AI326" s="43"/>
    </x:row>
    <x:row r="327">
      <x:c r="A327" s="43"/>
      <x:c r="B327" s="43"/>
      <x:c r="C327" s="43"/>
      <x:c r="D327" s="43" t="str">
        <x:f>IF(C327="","",YEAR(C327))</x:f>
      </x:c>
      <x:c r="E327" s="43" t="str">
        <x:f>IF(C327="","",MONTH(C327))</x:f>
      </x:c>
      <x:c r="F327" s="43" t="str">
        <x:f>IF(C327="","",WEEKNUM(C327,21))</x:f>
      </x:c>
      <x:c r="G327" s="43" t="str">
        <x:f>IF(C327="","",CHOOSE(WEEKDAY(C327,2),"Lundi","Mardi","Mercredi","Jeudi","Vendredi","Samedi","Dimanche"))</x:f>
      </x:c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  <x:c r="AA327" s="43"/>
      <x:c r="AB327" s="43"/>
      <x:c r="AC327" s="43"/>
      <x:c r="AD327" s="43"/>
      <x:c r="AE327" s="43"/>
      <x:c r="AF327" s="43"/>
      <x:c r="AG327" s="67"/>
      <x:c r="AH327" s="43"/>
      <x:c r="AI327" s="43"/>
    </x:row>
    <x:row r="328">
      <x:c r="A328" s="43"/>
      <x:c r="B328" s="43"/>
      <x:c r="C328" s="43"/>
      <x:c r="D328" s="43" t="str">
        <x:f>IF(C328="","",YEAR(C328))</x:f>
      </x:c>
      <x:c r="E328" s="43" t="str">
        <x:f>IF(C328="","",MONTH(C328))</x:f>
      </x:c>
      <x:c r="F328" s="43" t="str">
        <x:f>IF(C328="","",WEEKNUM(C328,21))</x:f>
      </x:c>
      <x:c r="G328" s="43" t="str">
        <x:f>IF(C328="","",CHOOSE(WEEKDAY(C328,2),"Lundi","Mardi","Mercredi","Jeudi","Vendredi","Samedi","Dimanche"))</x:f>
      </x:c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  <x:c r="AA328" s="43"/>
      <x:c r="AB328" s="43"/>
      <x:c r="AC328" s="43"/>
      <x:c r="AD328" s="43"/>
      <x:c r="AE328" s="43"/>
      <x:c r="AF328" s="43"/>
      <x:c r="AG328" s="67"/>
      <x:c r="AH328" s="43"/>
      <x:c r="AI328" s="43"/>
    </x:row>
    <x:row r="329">
      <x:c r="A329" s="43"/>
      <x:c r="B329" s="43"/>
      <x:c r="C329" s="43"/>
      <x:c r="D329" s="43" t="str">
        <x:f>IF(C329="","",YEAR(C329))</x:f>
      </x:c>
      <x:c r="E329" s="43" t="str">
        <x:f>IF(C329="","",MONTH(C329))</x:f>
      </x:c>
      <x:c r="F329" s="43" t="str">
        <x:f>IF(C329="","",WEEKNUM(C329,21))</x:f>
      </x:c>
      <x:c r="G329" s="43" t="str">
        <x:f>IF(C329="","",CHOOSE(WEEKDAY(C329,2),"Lundi","Mardi","Mercredi","Jeudi","Vendredi","Samedi","Dimanche"))</x:f>
      </x:c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  <x:c r="AA329" s="43"/>
      <x:c r="AB329" s="43"/>
      <x:c r="AC329" s="43"/>
      <x:c r="AD329" s="43"/>
      <x:c r="AE329" s="43"/>
      <x:c r="AF329" s="43"/>
      <x:c r="AG329" s="67"/>
      <x:c r="AH329" s="43"/>
      <x:c r="AI329" s="43"/>
    </x:row>
    <x:row r="330">
      <x:c r="A330" s="43"/>
      <x:c r="B330" s="43"/>
      <x:c r="C330" s="43"/>
      <x:c r="D330" s="43" t="str">
        <x:f>IF(C330="","",YEAR(C330))</x:f>
      </x:c>
      <x:c r="E330" s="43" t="str">
        <x:f>IF(C330="","",MONTH(C330))</x:f>
      </x:c>
      <x:c r="F330" s="43" t="str">
        <x:f>IF(C330="","",WEEKNUM(C330,21))</x:f>
      </x:c>
      <x:c r="G330" s="43" t="str">
        <x:f>IF(C330="","",CHOOSE(WEEKDAY(C330,2),"Lundi","Mardi","Mercredi","Jeudi","Vendredi","Samedi","Dimanche"))</x:f>
      </x:c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  <x:c r="AA330" s="43"/>
      <x:c r="AB330" s="43"/>
      <x:c r="AC330" s="43"/>
      <x:c r="AD330" s="43"/>
      <x:c r="AE330" s="43"/>
      <x:c r="AF330" s="43"/>
      <x:c r="AG330" s="67"/>
      <x:c r="AH330" s="43"/>
      <x:c r="AI330" s="43"/>
    </x:row>
    <x:row r="331">
      <x:c r="A331" s="43"/>
      <x:c r="B331" s="43"/>
      <x:c r="C331" s="43"/>
      <x:c r="D331" s="43" t="str">
        <x:f>IF(C331="","",YEAR(C331))</x:f>
      </x:c>
      <x:c r="E331" s="43" t="str">
        <x:f>IF(C331="","",MONTH(C331))</x:f>
      </x:c>
      <x:c r="F331" s="43" t="str">
        <x:f>IF(C331="","",WEEKNUM(C331,21))</x:f>
      </x:c>
      <x:c r="G331" s="43" t="str">
        <x:f>IF(C331="","",CHOOSE(WEEKDAY(C331,2),"Lundi","Mardi","Mercredi","Jeudi","Vendredi","Samedi","Dimanche"))</x:f>
      </x:c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  <x:c r="AA331" s="43"/>
      <x:c r="AB331" s="43"/>
      <x:c r="AC331" s="43"/>
      <x:c r="AD331" s="43"/>
      <x:c r="AE331" s="43"/>
      <x:c r="AF331" s="43"/>
      <x:c r="AG331" s="67"/>
      <x:c r="AH331" s="43"/>
      <x:c r="AI331" s="43"/>
    </x:row>
    <x:row r="332">
      <x:c r="A332" s="43"/>
      <x:c r="B332" s="43"/>
      <x:c r="C332" s="43"/>
      <x:c r="D332" s="43" t="str">
        <x:f>IF(C332="","",YEAR(C332))</x:f>
      </x:c>
      <x:c r="E332" s="43" t="str">
        <x:f>IF(C332="","",MONTH(C332))</x:f>
      </x:c>
      <x:c r="F332" s="43" t="str">
        <x:f>IF(C332="","",WEEKNUM(C332,21))</x:f>
      </x:c>
      <x:c r="G332" s="43" t="str">
        <x:f>IF(C332="","",CHOOSE(WEEKDAY(C332,2),"Lundi","Mardi","Mercredi","Jeudi","Vendredi","Samedi","Dimanche"))</x:f>
      </x:c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  <x:c r="AA332" s="43"/>
      <x:c r="AB332" s="43"/>
      <x:c r="AC332" s="43"/>
      <x:c r="AD332" s="43"/>
      <x:c r="AE332" s="43"/>
      <x:c r="AF332" s="43"/>
      <x:c r="AG332" s="67"/>
      <x:c r="AH332" s="43"/>
      <x:c r="AI332" s="43"/>
    </x:row>
    <x:row r="333">
      <x:c r="A333" s="43"/>
      <x:c r="B333" s="43"/>
      <x:c r="C333" s="43"/>
      <x:c r="D333" s="43" t="str">
        <x:f>IF(C333="","",YEAR(C333))</x:f>
      </x:c>
      <x:c r="E333" s="43" t="str">
        <x:f>IF(C333="","",MONTH(C333))</x:f>
      </x:c>
      <x:c r="F333" s="43" t="str">
        <x:f>IF(C333="","",WEEKNUM(C333,21))</x:f>
      </x:c>
      <x:c r="G333" s="43" t="str">
        <x:f>IF(C333="","",CHOOSE(WEEKDAY(C333,2),"Lundi","Mardi","Mercredi","Jeudi","Vendredi","Samedi","Dimanche"))</x:f>
      </x:c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  <x:c r="AA333" s="43"/>
      <x:c r="AB333" s="43"/>
      <x:c r="AC333" s="43"/>
      <x:c r="AD333" s="43"/>
      <x:c r="AE333" s="43"/>
      <x:c r="AF333" s="43"/>
      <x:c r="AG333" s="67"/>
      <x:c r="AH333" s="43"/>
      <x:c r="AI333" s="43"/>
    </x:row>
    <x:row r="334">
      <x:c r="A334" s="43"/>
      <x:c r="B334" s="43"/>
      <x:c r="C334" s="43"/>
      <x:c r="D334" s="43" t="str">
        <x:f>IF(C334="","",YEAR(C334))</x:f>
      </x:c>
      <x:c r="E334" s="43" t="str">
        <x:f>IF(C334="","",MONTH(C334))</x:f>
      </x:c>
      <x:c r="F334" s="43" t="str">
        <x:f>IF(C334="","",WEEKNUM(C334,21))</x:f>
      </x:c>
      <x:c r="G334" s="43" t="str">
        <x:f>IF(C334="","",CHOOSE(WEEKDAY(C334,2),"Lundi","Mardi","Mercredi","Jeudi","Vendredi","Samedi","Dimanche"))</x:f>
      </x:c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  <x:c r="AA334" s="43"/>
      <x:c r="AB334" s="43"/>
      <x:c r="AC334" s="43"/>
      <x:c r="AD334" s="43"/>
      <x:c r="AE334" s="43"/>
      <x:c r="AF334" s="43"/>
      <x:c r="AG334" s="67"/>
      <x:c r="AH334" s="43"/>
      <x:c r="AI334" s="43"/>
    </x:row>
    <x:row r="335">
      <x:c r="A335" s="43"/>
      <x:c r="B335" s="43"/>
      <x:c r="C335" s="43"/>
      <x:c r="D335" s="43" t="str">
        <x:f>IF(C335="","",YEAR(C335))</x:f>
      </x:c>
      <x:c r="E335" s="43" t="str">
        <x:f>IF(C335="","",MONTH(C335))</x:f>
      </x:c>
      <x:c r="F335" s="43" t="str">
        <x:f>IF(C335="","",WEEKNUM(C335,21))</x:f>
      </x:c>
      <x:c r="G335" s="43" t="str">
        <x:f>IF(C335="","",CHOOSE(WEEKDAY(C335,2),"Lundi","Mardi","Mercredi","Jeudi","Vendredi","Samedi","Dimanche"))</x:f>
      </x:c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  <x:c r="AA335" s="43"/>
      <x:c r="AB335" s="43"/>
      <x:c r="AC335" s="43"/>
      <x:c r="AD335" s="43"/>
      <x:c r="AE335" s="43"/>
      <x:c r="AF335" s="43"/>
      <x:c r="AG335" s="67"/>
      <x:c r="AH335" s="43"/>
      <x:c r="AI335" s="43"/>
    </x:row>
    <x:row r="336">
      <x:c r="A336" s="43"/>
      <x:c r="B336" s="43"/>
      <x:c r="C336" s="43"/>
      <x:c r="D336" s="43" t="str">
        <x:f>IF(C336="","",YEAR(C336))</x:f>
      </x:c>
      <x:c r="E336" s="43" t="str">
        <x:f>IF(C336="","",MONTH(C336))</x:f>
      </x:c>
      <x:c r="F336" s="43" t="str">
        <x:f>IF(C336="","",WEEKNUM(C336,21))</x:f>
      </x:c>
      <x:c r="G336" s="43" t="str">
        <x:f>IF(C336="","",CHOOSE(WEEKDAY(C336,2),"Lundi","Mardi","Mercredi","Jeudi","Vendredi","Samedi","Dimanche"))</x:f>
      </x:c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  <x:c r="AA336" s="43"/>
      <x:c r="AB336" s="43"/>
      <x:c r="AC336" s="43"/>
      <x:c r="AD336" s="43"/>
      <x:c r="AE336" s="43"/>
      <x:c r="AF336" s="43"/>
      <x:c r="AG336" s="67"/>
      <x:c r="AH336" s="43"/>
      <x:c r="AI336" s="43"/>
    </x:row>
    <x:row r="337">
      <x:c r="A337" s="43"/>
      <x:c r="B337" s="43"/>
      <x:c r="C337" s="43"/>
      <x:c r="D337" s="43" t="str">
        <x:f>IF(C337="","",YEAR(C337))</x:f>
      </x:c>
      <x:c r="E337" s="43" t="str">
        <x:f>IF(C337="","",MONTH(C337))</x:f>
      </x:c>
      <x:c r="F337" s="43" t="str">
        <x:f>IF(C337="","",WEEKNUM(C337,21))</x:f>
      </x:c>
      <x:c r="G337" s="43" t="str">
        <x:f>IF(C337="","",CHOOSE(WEEKDAY(C337,2),"Lundi","Mardi","Mercredi","Jeudi","Vendredi","Samedi","Dimanche"))</x:f>
      </x:c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  <x:c r="AA337" s="43"/>
      <x:c r="AB337" s="43"/>
      <x:c r="AC337" s="43"/>
      <x:c r="AD337" s="43"/>
      <x:c r="AE337" s="43"/>
      <x:c r="AF337" s="43"/>
      <x:c r="AG337" s="67"/>
      <x:c r="AH337" s="43"/>
      <x:c r="AI337" s="43"/>
    </x:row>
    <x:row r="338">
      <x:c r="A338" s="43"/>
      <x:c r="B338" s="43"/>
      <x:c r="C338" s="43"/>
      <x:c r="D338" s="43" t="str">
        <x:f>IF(C338="","",YEAR(C338))</x:f>
      </x:c>
      <x:c r="E338" s="43" t="str">
        <x:f>IF(C338="","",MONTH(C338))</x:f>
      </x:c>
      <x:c r="F338" s="43" t="str">
        <x:f>IF(C338="","",WEEKNUM(C338,21))</x:f>
      </x:c>
      <x:c r="G338" s="43" t="str">
        <x:f>IF(C338="","",CHOOSE(WEEKDAY(C338,2),"Lundi","Mardi","Mercredi","Jeudi","Vendredi","Samedi","Dimanche"))</x:f>
      </x:c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  <x:c r="AA338" s="43"/>
      <x:c r="AB338" s="43"/>
      <x:c r="AC338" s="43"/>
      <x:c r="AD338" s="43"/>
      <x:c r="AE338" s="43"/>
      <x:c r="AF338" s="43"/>
      <x:c r="AG338" s="67"/>
      <x:c r="AH338" s="43"/>
      <x:c r="AI338" s="43"/>
    </x:row>
    <x:row r="339">
      <x:c r="A339" s="43"/>
      <x:c r="B339" s="43"/>
      <x:c r="C339" s="43"/>
      <x:c r="D339" s="43" t="str">
        <x:f>IF(C339="","",YEAR(C339))</x:f>
      </x:c>
      <x:c r="E339" s="43" t="str">
        <x:f>IF(C339="","",MONTH(C339))</x:f>
      </x:c>
      <x:c r="F339" s="43" t="str">
        <x:f>IF(C339="","",WEEKNUM(C339,21))</x:f>
      </x:c>
      <x:c r="G339" s="43" t="str">
        <x:f>IF(C339="","",CHOOSE(WEEKDAY(C339,2),"Lundi","Mardi","Mercredi","Jeudi","Vendredi","Samedi","Dimanche"))</x:f>
      </x:c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  <x:c r="AA339" s="43"/>
      <x:c r="AB339" s="43"/>
      <x:c r="AC339" s="43"/>
      <x:c r="AD339" s="43"/>
      <x:c r="AE339" s="43"/>
      <x:c r="AF339" s="43"/>
      <x:c r="AG339" s="67"/>
      <x:c r="AH339" s="43"/>
      <x:c r="AI339" s="43"/>
    </x:row>
    <x:row r="340">
      <x:c r="A340" s="43"/>
      <x:c r="B340" s="43"/>
      <x:c r="C340" s="43"/>
      <x:c r="D340" s="43" t="str">
        <x:f>IF(C340="","",YEAR(C340))</x:f>
      </x:c>
      <x:c r="E340" s="43" t="str">
        <x:f>IF(C340="","",MONTH(C340))</x:f>
      </x:c>
      <x:c r="F340" s="43" t="str">
        <x:f>IF(C340="","",WEEKNUM(C340,21))</x:f>
      </x:c>
      <x:c r="G340" s="43" t="str">
        <x:f>IF(C340="","",CHOOSE(WEEKDAY(C340,2),"Lundi","Mardi","Mercredi","Jeudi","Vendredi","Samedi","Dimanche"))</x:f>
      </x:c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  <x:c r="AA340" s="43"/>
      <x:c r="AB340" s="43"/>
      <x:c r="AC340" s="43"/>
      <x:c r="AD340" s="43"/>
      <x:c r="AE340" s="43"/>
      <x:c r="AF340" s="43"/>
      <x:c r="AG340" s="67"/>
      <x:c r="AH340" s="43"/>
      <x:c r="AI340" s="43"/>
    </x:row>
    <x:row r="341">
      <x:c r="A341" s="43"/>
      <x:c r="B341" s="43"/>
      <x:c r="C341" s="43"/>
      <x:c r="D341" s="43" t="str">
        <x:f>IF(C341="","",YEAR(C341))</x:f>
      </x:c>
      <x:c r="E341" s="43" t="str">
        <x:f>IF(C341="","",MONTH(C341))</x:f>
      </x:c>
      <x:c r="F341" s="43" t="str">
        <x:f>IF(C341="","",WEEKNUM(C341,21))</x:f>
      </x:c>
      <x:c r="G341" s="43" t="str">
        <x:f>IF(C341="","",CHOOSE(WEEKDAY(C341,2),"Lundi","Mardi","Mercredi","Jeudi","Vendredi","Samedi","Dimanche"))</x:f>
      </x:c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  <x:c r="AA341" s="43"/>
      <x:c r="AB341" s="43"/>
      <x:c r="AC341" s="43"/>
      <x:c r="AD341" s="43"/>
      <x:c r="AE341" s="43"/>
      <x:c r="AF341" s="43"/>
      <x:c r="AG341" s="67"/>
      <x:c r="AH341" s="43"/>
      <x:c r="AI341" s="43"/>
    </x:row>
    <x:row r="342">
      <x:c r="A342" s="43"/>
      <x:c r="B342" s="43"/>
      <x:c r="C342" s="43"/>
      <x:c r="D342" s="43" t="str">
        <x:f>IF(C342="","",YEAR(C342))</x:f>
      </x:c>
      <x:c r="E342" s="43" t="str">
        <x:f>IF(C342="","",MONTH(C342))</x:f>
      </x:c>
      <x:c r="F342" s="43" t="str">
        <x:f>IF(C342="","",WEEKNUM(C342,21))</x:f>
      </x:c>
      <x:c r="G342" s="43" t="str">
        <x:f>IF(C342="","",CHOOSE(WEEKDAY(C342,2),"Lundi","Mardi","Mercredi","Jeudi","Vendredi","Samedi","Dimanche"))</x:f>
      </x:c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  <x:c r="AA342" s="43"/>
      <x:c r="AB342" s="43"/>
      <x:c r="AC342" s="43"/>
      <x:c r="AD342" s="43"/>
      <x:c r="AE342" s="43"/>
      <x:c r="AF342" s="43"/>
      <x:c r="AG342" s="67"/>
      <x:c r="AH342" s="43"/>
      <x:c r="AI342" s="43"/>
    </x:row>
    <x:row r="343">
      <x:c r="A343" s="43"/>
      <x:c r="B343" s="43"/>
      <x:c r="C343" s="43"/>
      <x:c r="D343" s="43" t="str">
        <x:f>IF(C343="","",YEAR(C343))</x:f>
      </x:c>
      <x:c r="E343" s="43" t="str">
        <x:f>IF(C343="","",MONTH(C343))</x:f>
      </x:c>
      <x:c r="F343" s="43" t="str">
        <x:f>IF(C343="","",WEEKNUM(C343,21))</x:f>
      </x:c>
      <x:c r="G343" s="43" t="str">
        <x:f>IF(C343="","",CHOOSE(WEEKDAY(C343,2),"Lundi","Mardi","Mercredi","Jeudi","Vendredi","Samedi","Dimanche"))</x:f>
      </x:c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  <x:c r="AA343" s="43"/>
      <x:c r="AB343" s="43"/>
      <x:c r="AC343" s="43"/>
      <x:c r="AD343" s="43"/>
      <x:c r="AE343" s="43"/>
      <x:c r="AF343" s="43"/>
      <x:c r="AG343" s="67"/>
      <x:c r="AH343" s="43"/>
      <x:c r="AI343" s="43"/>
    </x:row>
    <x:row r="344">
      <x:c r="A344" s="43"/>
      <x:c r="B344" s="43"/>
      <x:c r="C344" s="43"/>
      <x:c r="D344" s="43" t="str">
        <x:f>IF(C344="","",YEAR(C344))</x:f>
      </x:c>
      <x:c r="E344" s="43" t="str">
        <x:f>IF(C344="","",MONTH(C344))</x:f>
      </x:c>
      <x:c r="F344" s="43" t="str">
        <x:f>IF(C344="","",WEEKNUM(C344,21))</x:f>
      </x:c>
      <x:c r="G344" s="43" t="str">
        <x:f>IF(C344="","",CHOOSE(WEEKDAY(C344,2),"Lundi","Mardi","Mercredi","Jeudi","Vendredi","Samedi","Dimanche"))</x:f>
      </x:c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  <x:c r="AA344" s="43"/>
      <x:c r="AB344" s="43"/>
      <x:c r="AC344" s="43"/>
      <x:c r="AD344" s="43"/>
      <x:c r="AE344" s="43"/>
      <x:c r="AF344" s="43"/>
      <x:c r="AG344" s="67"/>
      <x:c r="AH344" s="43"/>
      <x:c r="AI344" s="43"/>
    </x:row>
    <x:row r="345">
      <x:c r="A345" s="43"/>
      <x:c r="B345" s="43"/>
      <x:c r="C345" s="43"/>
      <x:c r="D345" s="43" t="str">
        <x:f>IF(C345="","",YEAR(C345))</x:f>
      </x:c>
      <x:c r="E345" s="43" t="str">
        <x:f>IF(C345="","",MONTH(C345))</x:f>
      </x:c>
      <x:c r="F345" s="43" t="str">
        <x:f>IF(C345="","",WEEKNUM(C345,21))</x:f>
      </x:c>
      <x:c r="G345" s="43" t="str">
        <x:f>IF(C345="","",CHOOSE(WEEKDAY(C345,2),"Lundi","Mardi","Mercredi","Jeudi","Vendredi","Samedi","Dimanche"))</x:f>
      </x:c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  <x:c r="AA345" s="43"/>
      <x:c r="AB345" s="43"/>
      <x:c r="AC345" s="43"/>
      <x:c r="AD345" s="43"/>
      <x:c r="AE345" s="43"/>
      <x:c r="AF345" s="43"/>
      <x:c r="AG345" s="67"/>
      <x:c r="AH345" s="43"/>
      <x:c r="AI345" s="43"/>
    </x:row>
    <x:row r="346">
      <x:c r="A346" s="43"/>
      <x:c r="B346" s="43"/>
      <x:c r="C346" s="43"/>
      <x:c r="D346" s="43" t="str">
        <x:f>IF(C346="","",YEAR(C346))</x:f>
      </x:c>
      <x:c r="E346" s="43" t="str">
        <x:f>IF(C346="","",MONTH(C346))</x:f>
      </x:c>
      <x:c r="F346" s="43" t="str">
        <x:f>IF(C346="","",WEEKNUM(C346,21))</x:f>
      </x:c>
      <x:c r="G346" s="43" t="str">
        <x:f>IF(C346="","",CHOOSE(WEEKDAY(C346,2),"Lundi","Mardi","Mercredi","Jeudi","Vendredi","Samedi","Dimanche"))</x:f>
      </x:c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  <x:c r="AA346" s="43"/>
      <x:c r="AB346" s="43"/>
      <x:c r="AC346" s="43"/>
      <x:c r="AD346" s="43"/>
      <x:c r="AE346" s="43"/>
      <x:c r="AF346" s="43"/>
      <x:c r="AG346" s="67"/>
      <x:c r="AH346" s="43"/>
      <x:c r="AI346" s="43"/>
    </x:row>
    <x:row r="347">
      <x:c r="A347" s="43"/>
      <x:c r="B347" s="43"/>
      <x:c r="C347" s="43"/>
      <x:c r="D347" s="43" t="str">
        <x:f>IF(C347="","",YEAR(C347))</x:f>
      </x:c>
      <x:c r="E347" s="43" t="str">
        <x:f>IF(C347="","",MONTH(C347))</x:f>
      </x:c>
      <x:c r="F347" s="43" t="str">
        <x:f>IF(C347="","",WEEKNUM(C347,21))</x:f>
      </x:c>
      <x:c r="G347" s="43" t="str">
        <x:f>IF(C347="","",CHOOSE(WEEKDAY(C347,2),"Lundi","Mardi","Mercredi","Jeudi","Vendredi","Samedi","Dimanche"))</x:f>
      </x:c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  <x:c r="AA347" s="43"/>
      <x:c r="AB347" s="43"/>
      <x:c r="AC347" s="43"/>
      <x:c r="AD347" s="43"/>
      <x:c r="AE347" s="43"/>
      <x:c r="AF347" s="43"/>
      <x:c r="AG347" s="67"/>
      <x:c r="AH347" s="43"/>
      <x:c r="AI347" s="43"/>
    </x:row>
    <x:row r="348">
      <x:c r="A348" s="43"/>
      <x:c r="B348" s="43"/>
      <x:c r="C348" s="43"/>
      <x:c r="D348" s="43" t="str">
        <x:f>IF(C348="","",YEAR(C348))</x:f>
      </x:c>
      <x:c r="E348" s="43" t="str">
        <x:f>IF(C348="","",MONTH(C348))</x:f>
      </x:c>
      <x:c r="F348" s="43" t="str">
        <x:f>IF(C348="","",WEEKNUM(C348,21))</x:f>
      </x:c>
      <x:c r="G348" s="43" t="str">
        <x:f>IF(C348="","",CHOOSE(WEEKDAY(C348,2),"Lundi","Mardi","Mercredi","Jeudi","Vendredi","Samedi","Dimanche"))</x:f>
      </x:c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  <x:c r="AA348" s="43"/>
      <x:c r="AB348" s="43"/>
      <x:c r="AC348" s="43"/>
      <x:c r="AD348" s="43"/>
      <x:c r="AE348" s="43"/>
      <x:c r="AF348" s="43"/>
      <x:c r="AG348" s="67"/>
      <x:c r="AH348" s="43"/>
      <x:c r="AI348" s="43"/>
    </x:row>
    <x:row r="349">
      <x:c r="A349" s="43"/>
      <x:c r="B349" s="43"/>
      <x:c r="C349" s="43"/>
      <x:c r="D349" s="43" t="str">
        <x:f>IF(C349="","",YEAR(C349))</x:f>
      </x:c>
      <x:c r="E349" s="43" t="str">
        <x:f>IF(C349="","",MONTH(C349))</x:f>
      </x:c>
      <x:c r="F349" s="43" t="str">
        <x:f>IF(C349="","",WEEKNUM(C349,21))</x:f>
      </x:c>
      <x:c r="G349" s="43" t="str">
        <x:f>IF(C349="","",CHOOSE(WEEKDAY(C349,2),"Lundi","Mardi","Mercredi","Jeudi","Vendredi","Samedi","Dimanche"))</x:f>
      </x:c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  <x:c r="AA349" s="43"/>
      <x:c r="AB349" s="43"/>
      <x:c r="AC349" s="43"/>
      <x:c r="AD349" s="43"/>
      <x:c r="AE349" s="43"/>
      <x:c r="AF349" s="43"/>
      <x:c r="AG349" s="67"/>
      <x:c r="AH349" s="43"/>
      <x:c r="AI349" s="43"/>
    </x:row>
    <x:row r="350">
      <x:c r="A350" s="43"/>
      <x:c r="B350" s="43"/>
      <x:c r="C350" s="43"/>
      <x:c r="D350" s="43" t="str">
        <x:f>IF(C350="","",YEAR(C350))</x:f>
      </x:c>
      <x:c r="E350" s="43" t="str">
        <x:f>IF(C350="","",MONTH(C350))</x:f>
      </x:c>
      <x:c r="F350" s="43" t="str">
        <x:f>IF(C350="","",WEEKNUM(C350,21))</x:f>
      </x:c>
      <x:c r="G350" s="43" t="str">
        <x:f>IF(C350="","",CHOOSE(WEEKDAY(C350,2),"Lundi","Mardi","Mercredi","Jeudi","Vendredi","Samedi","Dimanche"))</x:f>
      </x:c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  <x:c r="AA350" s="43"/>
      <x:c r="AB350" s="43"/>
      <x:c r="AC350" s="43"/>
      <x:c r="AD350" s="43"/>
      <x:c r="AE350" s="43"/>
      <x:c r="AF350" s="43"/>
      <x:c r="AG350" s="67"/>
      <x:c r="AH350" s="43"/>
      <x:c r="AI350" s="43"/>
    </x:row>
    <x:row r="351">
      <x:c r="A351" s="43"/>
      <x:c r="B351" s="43"/>
      <x:c r="C351" s="43"/>
      <x:c r="D351" s="43" t="str">
        <x:f>IF(C351="","",YEAR(C351))</x:f>
      </x:c>
      <x:c r="E351" s="43" t="str">
        <x:f>IF(C351="","",MONTH(C351))</x:f>
      </x:c>
      <x:c r="F351" s="43" t="str">
        <x:f>IF(C351="","",WEEKNUM(C351,21))</x:f>
      </x:c>
      <x:c r="G351" s="43" t="str">
        <x:f>IF(C351="","",CHOOSE(WEEKDAY(C351,2),"Lundi","Mardi","Mercredi","Jeudi","Vendredi","Samedi","Dimanche"))</x:f>
      </x:c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  <x:c r="AA351" s="43"/>
      <x:c r="AB351" s="43"/>
      <x:c r="AC351" s="43"/>
      <x:c r="AD351" s="43"/>
      <x:c r="AE351" s="43"/>
      <x:c r="AF351" s="43"/>
      <x:c r="AG351" s="67"/>
      <x:c r="AH351" s="43"/>
      <x:c r="AI351" s="43"/>
    </x:row>
    <x:row r="352">
      <x:c r="A352" s="43"/>
      <x:c r="B352" s="43"/>
      <x:c r="C352" s="43"/>
      <x:c r="D352" s="43" t="str">
        <x:f>IF(C352="","",YEAR(C352))</x:f>
      </x:c>
      <x:c r="E352" s="43" t="str">
        <x:f>IF(C352="","",MONTH(C352))</x:f>
      </x:c>
      <x:c r="F352" s="43" t="str">
        <x:f>IF(C352="","",WEEKNUM(C352,21))</x:f>
      </x:c>
      <x:c r="G352" s="43" t="str">
        <x:f>IF(C352="","",CHOOSE(WEEKDAY(C352,2),"Lundi","Mardi","Mercredi","Jeudi","Vendredi","Samedi","Dimanche"))</x:f>
      </x:c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  <x:c r="AA352" s="43"/>
      <x:c r="AB352" s="43"/>
      <x:c r="AC352" s="43"/>
      <x:c r="AD352" s="43"/>
      <x:c r="AE352" s="43"/>
      <x:c r="AF352" s="43"/>
      <x:c r="AG352" s="67"/>
      <x:c r="AH352" s="43"/>
      <x:c r="AI352" s="43"/>
    </x:row>
    <x:row r="353">
      <x:c r="A353" s="43"/>
      <x:c r="B353" s="43"/>
      <x:c r="C353" s="43"/>
      <x:c r="D353" s="43" t="str">
        <x:f>IF(C353="","",YEAR(C353))</x:f>
      </x:c>
      <x:c r="E353" s="43" t="str">
        <x:f>IF(C353="","",MONTH(C353))</x:f>
      </x:c>
      <x:c r="F353" s="43" t="str">
        <x:f>IF(C353="","",WEEKNUM(C353,21))</x:f>
      </x:c>
      <x:c r="G353" s="43" t="str">
        <x:f>IF(C353="","",CHOOSE(WEEKDAY(C353,2),"Lundi","Mardi","Mercredi","Jeudi","Vendredi","Samedi","Dimanche"))</x:f>
      </x:c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  <x:c r="AA353" s="43"/>
      <x:c r="AB353" s="43"/>
      <x:c r="AC353" s="43"/>
      <x:c r="AD353" s="43"/>
      <x:c r="AE353" s="43"/>
      <x:c r="AF353" s="43"/>
      <x:c r="AG353" s="67"/>
      <x:c r="AH353" s="43"/>
      <x:c r="AI353" s="43"/>
    </x:row>
    <x:row r="354">
      <x:c r="A354" s="43"/>
      <x:c r="B354" s="43"/>
      <x:c r="C354" s="43"/>
      <x:c r="D354" s="43" t="str">
        <x:f>IF(C354="","",YEAR(C354))</x:f>
      </x:c>
      <x:c r="E354" s="43" t="str">
        <x:f>IF(C354="","",MONTH(C354))</x:f>
      </x:c>
      <x:c r="F354" s="43" t="str">
        <x:f>IF(C354="","",WEEKNUM(C354,21))</x:f>
      </x:c>
      <x:c r="G354" s="43" t="str">
        <x:f>IF(C354="","",CHOOSE(WEEKDAY(C354,2),"Lundi","Mardi","Mercredi","Jeudi","Vendredi","Samedi","Dimanche"))</x:f>
      </x:c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  <x:c r="AA354" s="43"/>
      <x:c r="AB354" s="43"/>
      <x:c r="AC354" s="43"/>
      <x:c r="AD354" s="43"/>
      <x:c r="AE354" s="43"/>
      <x:c r="AF354" s="43"/>
      <x:c r="AG354" s="67"/>
      <x:c r="AH354" s="43"/>
      <x:c r="AI354" s="43"/>
    </x:row>
    <x:row r="355">
      <x:c r="A355" s="43"/>
      <x:c r="B355" s="43"/>
      <x:c r="C355" s="43"/>
      <x:c r="D355" s="43" t="str">
        <x:f>IF(C355="","",YEAR(C355))</x:f>
      </x:c>
      <x:c r="E355" s="43" t="str">
        <x:f>IF(C355="","",MONTH(C355))</x:f>
      </x:c>
      <x:c r="F355" s="43" t="str">
        <x:f>IF(C355="","",WEEKNUM(C355,21))</x:f>
      </x:c>
      <x:c r="G355" s="43" t="str">
        <x:f>IF(C355="","",CHOOSE(WEEKDAY(C355,2),"Lundi","Mardi","Mercredi","Jeudi","Vendredi","Samedi","Dimanche"))</x:f>
      </x:c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  <x:c r="AA355" s="43"/>
      <x:c r="AB355" s="43"/>
      <x:c r="AC355" s="43"/>
      <x:c r="AD355" s="43"/>
      <x:c r="AE355" s="43"/>
      <x:c r="AF355" s="43"/>
      <x:c r="AG355" s="67"/>
      <x:c r="AH355" s="43"/>
      <x:c r="AI355" s="43"/>
    </x:row>
    <x:row r="356">
      <x:c r="A356" s="43"/>
      <x:c r="B356" s="43"/>
      <x:c r="C356" s="43"/>
      <x:c r="D356" s="43" t="str">
        <x:f>IF(C356="","",YEAR(C356))</x:f>
      </x:c>
      <x:c r="E356" s="43" t="str">
        <x:f>IF(C356="","",MONTH(C356))</x:f>
      </x:c>
      <x:c r="F356" s="43" t="str">
        <x:f>IF(C356="","",WEEKNUM(C356,21))</x:f>
      </x:c>
      <x:c r="G356" s="43" t="str">
        <x:f>IF(C356="","",CHOOSE(WEEKDAY(C356,2),"Lundi","Mardi","Mercredi","Jeudi","Vendredi","Samedi","Dimanche"))</x:f>
      </x:c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  <x:c r="AA356" s="43"/>
      <x:c r="AB356" s="43"/>
      <x:c r="AC356" s="43"/>
      <x:c r="AD356" s="43"/>
      <x:c r="AE356" s="43"/>
      <x:c r="AF356" s="43"/>
      <x:c r="AG356" s="67"/>
      <x:c r="AH356" s="43"/>
      <x:c r="AI356" s="43"/>
    </x:row>
    <x:row r="357">
      <x:c r="A357" s="43"/>
      <x:c r="B357" s="43"/>
      <x:c r="C357" s="43"/>
      <x:c r="D357" s="43" t="str">
        <x:f>IF(C357="","",YEAR(C357))</x:f>
      </x:c>
      <x:c r="E357" s="43" t="str">
        <x:f>IF(C357="","",MONTH(C357))</x:f>
      </x:c>
      <x:c r="F357" s="43" t="str">
        <x:f>IF(C357="","",WEEKNUM(C357,21))</x:f>
      </x:c>
      <x:c r="G357" s="43" t="str">
        <x:f>IF(C357="","",CHOOSE(WEEKDAY(C357,2),"Lundi","Mardi","Mercredi","Jeudi","Vendredi","Samedi","Dimanche"))</x:f>
      </x:c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  <x:c r="AA357" s="43"/>
      <x:c r="AB357" s="43"/>
      <x:c r="AC357" s="43"/>
      <x:c r="AD357" s="43"/>
      <x:c r="AE357" s="43"/>
      <x:c r="AF357" s="43"/>
      <x:c r="AG357" s="67"/>
      <x:c r="AH357" s="43"/>
      <x:c r="AI357" s="43"/>
    </x:row>
    <x:row r="358">
      <x:c r="A358" s="43"/>
      <x:c r="B358" s="43"/>
      <x:c r="C358" s="43"/>
      <x:c r="D358" s="43" t="str">
        <x:f>IF(C358="","",YEAR(C358))</x:f>
      </x:c>
      <x:c r="E358" s="43" t="str">
        <x:f>IF(C358="","",MONTH(C358))</x:f>
      </x:c>
      <x:c r="F358" s="43" t="str">
        <x:f>IF(C358="","",WEEKNUM(C358,21))</x:f>
      </x:c>
      <x:c r="G358" s="43" t="str">
        <x:f>IF(C358="","",CHOOSE(WEEKDAY(C358,2),"Lundi","Mardi","Mercredi","Jeudi","Vendredi","Samedi","Dimanche"))</x:f>
      </x:c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  <x:c r="AA358" s="43"/>
      <x:c r="AB358" s="43"/>
      <x:c r="AC358" s="43"/>
      <x:c r="AD358" s="43"/>
      <x:c r="AE358" s="43"/>
      <x:c r="AF358" s="43"/>
      <x:c r="AG358" s="67"/>
      <x:c r="AH358" s="43"/>
      <x:c r="AI358" s="43"/>
    </x:row>
    <x:row r="359">
      <x:c r="A359" s="43"/>
      <x:c r="B359" s="43"/>
      <x:c r="C359" s="43"/>
      <x:c r="D359" s="43" t="str">
        <x:f>IF(C359="","",YEAR(C359))</x:f>
      </x:c>
      <x:c r="E359" s="43" t="str">
        <x:f>IF(C359="","",MONTH(C359))</x:f>
      </x:c>
      <x:c r="F359" s="43" t="str">
        <x:f>IF(C359="","",WEEKNUM(C359,21))</x:f>
      </x:c>
      <x:c r="G359" s="43" t="str">
        <x:f>IF(C359="","",CHOOSE(WEEKDAY(C359,2),"Lundi","Mardi","Mercredi","Jeudi","Vendredi","Samedi","Dimanche"))</x:f>
      </x:c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  <x:c r="AA359" s="43"/>
      <x:c r="AB359" s="43"/>
      <x:c r="AC359" s="43"/>
      <x:c r="AD359" s="43"/>
      <x:c r="AE359" s="43"/>
      <x:c r="AF359" s="43"/>
      <x:c r="AG359" s="67"/>
      <x:c r="AH359" s="43"/>
      <x:c r="AI359" s="43"/>
    </x:row>
    <x:row r="360">
      <x:c r="A360" s="43"/>
      <x:c r="B360" s="43"/>
      <x:c r="C360" s="43"/>
      <x:c r="D360" s="43" t="str">
        <x:f>IF(C360="","",YEAR(C360))</x:f>
      </x:c>
      <x:c r="E360" s="43" t="str">
        <x:f>IF(C360="","",MONTH(C360))</x:f>
      </x:c>
      <x:c r="F360" s="43" t="str">
        <x:f>IF(C360="","",WEEKNUM(C360,21))</x:f>
      </x:c>
      <x:c r="G360" s="43" t="str">
        <x:f>IF(C360="","",CHOOSE(WEEKDAY(C360,2),"Lundi","Mardi","Mercredi","Jeudi","Vendredi","Samedi","Dimanche"))</x:f>
      </x:c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  <x:c r="AA360" s="43"/>
      <x:c r="AB360" s="43"/>
      <x:c r="AC360" s="43"/>
      <x:c r="AD360" s="43"/>
      <x:c r="AE360" s="43"/>
      <x:c r="AF360" s="43"/>
      <x:c r="AG360" s="67"/>
      <x:c r="AH360" s="43"/>
      <x:c r="AI360" s="43"/>
    </x:row>
    <x:row r="361">
      <x:c r="A361" s="43"/>
      <x:c r="B361" s="43"/>
      <x:c r="C361" s="43"/>
      <x:c r="D361" s="43" t="str">
        <x:f>IF(C361="","",YEAR(C361))</x:f>
      </x:c>
      <x:c r="E361" s="43" t="str">
        <x:f>IF(C361="","",MONTH(C361))</x:f>
      </x:c>
      <x:c r="F361" s="43" t="str">
        <x:f>IF(C361="","",WEEKNUM(C361,21))</x:f>
      </x:c>
      <x:c r="G361" s="43" t="str">
        <x:f>IF(C361="","",CHOOSE(WEEKDAY(C361,2),"Lundi","Mardi","Mercredi","Jeudi","Vendredi","Samedi","Dimanche"))</x:f>
      </x:c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  <x:c r="AA361" s="43"/>
      <x:c r="AB361" s="43"/>
      <x:c r="AC361" s="43"/>
      <x:c r="AD361" s="43"/>
      <x:c r="AE361" s="43"/>
      <x:c r="AF361" s="43"/>
      <x:c r="AG361" s="67"/>
      <x:c r="AH361" s="43"/>
      <x:c r="AI361" s="43"/>
    </x:row>
    <x:row r="362">
      <x:c r="A362" s="43"/>
      <x:c r="B362" s="43"/>
      <x:c r="C362" s="43"/>
      <x:c r="D362" s="43" t="str">
        <x:f>IF(C362="","",YEAR(C362))</x:f>
      </x:c>
      <x:c r="E362" s="43" t="str">
        <x:f>IF(C362="","",MONTH(C362))</x:f>
      </x:c>
      <x:c r="F362" s="43" t="str">
        <x:f>IF(C362="","",WEEKNUM(C362,21))</x:f>
      </x:c>
      <x:c r="G362" s="43" t="str">
        <x:f>IF(C362="","",CHOOSE(WEEKDAY(C362,2),"Lundi","Mardi","Mercredi","Jeudi","Vendredi","Samedi","Dimanche"))</x:f>
      </x:c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  <x:c r="AA362" s="43"/>
      <x:c r="AB362" s="43"/>
      <x:c r="AC362" s="43"/>
      <x:c r="AD362" s="43"/>
      <x:c r="AE362" s="43"/>
      <x:c r="AF362" s="43"/>
      <x:c r="AG362" s="67"/>
      <x:c r="AH362" s="43"/>
      <x:c r="AI362" s="43"/>
    </x:row>
    <x:row r="363">
      <x:c r="A363" s="43"/>
      <x:c r="B363" s="43"/>
      <x:c r="C363" s="43"/>
      <x:c r="D363" s="43" t="str">
        <x:f>IF(C363="","",YEAR(C363))</x:f>
      </x:c>
      <x:c r="E363" s="43" t="str">
        <x:f>IF(C363="","",MONTH(C363))</x:f>
      </x:c>
      <x:c r="F363" s="43" t="str">
        <x:f>IF(C363="","",WEEKNUM(C363,21))</x:f>
      </x:c>
      <x:c r="G363" s="43" t="str">
        <x:f>IF(C363="","",CHOOSE(WEEKDAY(C363,2),"Lundi","Mardi","Mercredi","Jeudi","Vendredi","Samedi","Dimanche"))</x:f>
      </x:c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  <x:c r="AA363" s="43"/>
      <x:c r="AB363" s="43"/>
      <x:c r="AC363" s="43"/>
      <x:c r="AD363" s="43"/>
      <x:c r="AE363" s="43"/>
      <x:c r="AF363" s="43"/>
      <x:c r="AG363" s="67"/>
      <x:c r="AH363" s="43"/>
      <x:c r="AI363" s="43"/>
    </x:row>
    <x:row r="364">
      <x:c r="A364" s="43"/>
      <x:c r="B364" s="43"/>
      <x:c r="C364" s="43"/>
      <x:c r="D364" s="43" t="str">
        <x:f>IF(C364="","",YEAR(C364))</x:f>
      </x:c>
      <x:c r="E364" s="43" t="str">
        <x:f>IF(C364="","",MONTH(C364))</x:f>
      </x:c>
      <x:c r="F364" s="43" t="str">
        <x:f>IF(C364="","",WEEKNUM(C364,21))</x:f>
      </x:c>
      <x:c r="G364" s="43" t="str">
        <x:f>IF(C364="","",CHOOSE(WEEKDAY(C364,2),"Lundi","Mardi","Mercredi","Jeudi","Vendredi","Samedi","Dimanche"))</x:f>
      </x:c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  <x:c r="AA364" s="43"/>
      <x:c r="AB364" s="43"/>
      <x:c r="AC364" s="43"/>
      <x:c r="AD364" s="43"/>
      <x:c r="AE364" s="43"/>
      <x:c r="AF364" s="43"/>
      <x:c r="AG364" s="67"/>
      <x:c r="AH364" s="43"/>
      <x:c r="AI364" s="43"/>
    </x:row>
    <x:row r="365">
      <x:c r="A365" s="43"/>
      <x:c r="B365" s="43"/>
      <x:c r="C365" s="43"/>
      <x:c r="D365" s="43" t="str">
        <x:f>IF(C365="","",YEAR(C365))</x:f>
      </x:c>
      <x:c r="E365" s="43" t="str">
        <x:f>IF(C365="","",MONTH(C365))</x:f>
      </x:c>
      <x:c r="F365" s="43" t="str">
        <x:f>IF(C365="","",WEEKNUM(C365,21))</x:f>
      </x:c>
      <x:c r="G365" s="43" t="str">
        <x:f>IF(C365="","",CHOOSE(WEEKDAY(C365,2),"Lundi","Mardi","Mercredi","Jeudi","Vendredi","Samedi","Dimanche"))</x:f>
      </x:c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  <x:c r="AA365" s="43"/>
      <x:c r="AB365" s="43"/>
      <x:c r="AC365" s="43"/>
      <x:c r="AD365" s="43"/>
      <x:c r="AE365" s="43"/>
      <x:c r="AF365" s="43"/>
      <x:c r="AG365" s="67"/>
      <x:c r="AH365" s="43"/>
      <x:c r="AI365" s="43"/>
    </x:row>
    <x:row r="366">
      <x:c r="A366" s="43"/>
      <x:c r="B366" s="43"/>
      <x:c r="C366" s="43"/>
      <x:c r="D366" s="43" t="str">
        <x:f>IF(C366="","",YEAR(C366))</x:f>
      </x:c>
      <x:c r="E366" s="43" t="str">
        <x:f>IF(C366="","",MONTH(C366))</x:f>
      </x:c>
      <x:c r="F366" s="43" t="str">
        <x:f>IF(C366="","",WEEKNUM(C366,21))</x:f>
      </x:c>
      <x:c r="G366" s="43" t="str">
        <x:f>IF(C366="","",CHOOSE(WEEKDAY(C366,2),"Lundi","Mardi","Mercredi","Jeudi","Vendredi","Samedi","Dimanche"))</x:f>
      </x:c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  <x:c r="AA366" s="43"/>
      <x:c r="AB366" s="43"/>
      <x:c r="AC366" s="43"/>
      <x:c r="AD366" s="43"/>
      <x:c r="AE366" s="43"/>
      <x:c r="AF366" s="43"/>
      <x:c r="AG366" s="67"/>
      <x:c r="AH366" s="43"/>
      <x:c r="AI366" s="43"/>
    </x:row>
    <x:row r="367">
      <x:c r="A367" s="43"/>
      <x:c r="B367" s="43"/>
      <x:c r="C367" s="43"/>
      <x:c r="D367" s="43" t="str">
        <x:f>IF(C367="","",YEAR(C367))</x:f>
      </x:c>
      <x:c r="E367" s="43" t="str">
        <x:f>IF(C367="","",MONTH(C367))</x:f>
      </x:c>
      <x:c r="F367" s="43" t="str">
        <x:f>IF(C367="","",WEEKNUM(C367,21))</x:f>
      </x:c>
      <x:c r="G367" s="43" t="str">
        <x:f>IF(C367="","",CHOOSE(WEEKDAY(C367,2),"Lundi","Mardi","Mercredi","Jeudi","Vendredi","Samedi","Dimanche"))</x:f>
      </x:c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  <x:c r="AA367" s="43"/>
      <x:c r="AB367" s="43"/>
      <x:c r="AC367" s="43"/>
      <x:c r="AD367" s="43"/>
      <x:c r="AE367" s="43"/>
      <x:c r="AF367" s="43"/>
      <x:c r="AG367" s="67"/>
      <x:c r="AH367" s="43"/>
      <x:c r="AI367" s="43"/>
    </x:row>
    <x:row r="368">
      <x:c r="A368" s="43"/>
      <x:c r="B368" s="43"/>
      <x:c r="C368" s="43"/>
      <x:c r="D368" s="43" t="str">
        <x:f>IF(C368="","",YEAR(C368))</x:f>
      </x:c>
      <x:c r="E368" s="43" t="str">
        <x:f>IF(C368="","",MONTH(C368))</x:f>
      </x:c>
      <x:c r="F368" s="43" t="str">
        <x:f>IF(C368="","",WEEKNUM(C368,21))</x:f>
      </x:c>
      <x:c r="G368" s="43" t="str">
        <x:f>IF(C368="","",CHOOSE(WEEKDAY(C368,2),"Lundi","Mardi","Mercredi","Jeudi","Vendredi","Samedi","Dimanche"))</x:f>
      </x:c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  <x:c r="AA368" s="43"/>
      <x:c r="AB368" s="43"/>
      <x:c r="AC368" s="43"/>
      <x:c r="AD368" s="43"/>
      <x:c r="AE368" s="43"/>
      <x:c r="AF368" s="43"/>
      <x:c r="AG368" s="67"/>
      <x:c r="AH368" s="43"/>
      <x:c r="AI368" s="43"/>
    </x:row>
    <x:row r="369">
      <x:c r="A369" s="43"/>
      <x:c r="B369" s="43"/>
      <x:c r="C369" s="43"/>
      <x:c r="D369" s="43" t="str">
        <x:f>IF(C369="","",YEAR(C369))</x:f>
      </x:c>
      <x:c r="E369" s="43" t="str">
        <x:f>IF(C369="","",MONTH(C369))</x:f>
      </x:c>
      <x:c r="F369" s="43" t="str">
        <x:f>IF(C369="","",WEEKNUM(C369,21))</x:f>
      </x:c>
      <x:c r="G369" s="43" t="str">
        <x:f>IF(C369="","",CHOOSE(WEEKDAY(C369,2),"Lundi","Mardi","Mercredi","Jeudi","Vendredi","Samedi","Dimanche"))</x:f>
      </x:c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  <x:c r="AA369" s="43"/>
      <x:c r="AB369" s="43"/>
      <x:c r="AC369" s="43"/>
      <x:c r="AD369" s="43"/>
      <x:c r="AE369" s="43"/>
      <x:c r="AF369" s="43"/>
      <x:c r="AG369" s="67"/>
      <x:c r="AH369" s="43"/>
      <x:c r="AI369" s="43"/>
    </x:row>
    <x:row r="370">
      <x:c r="A370" s="43"/>
      <x:c r="B370" s="43"/>
      <x:c r="C370" s="43"/>
      <x:c r="D370" s="43" t="str">
        <x:f>IF(C370="","",YEAR(C370))</x:f>
      </x:c>
      <x:c r="E370" s="43" t="str">
        <x:f>IF(C370="","",MONTH(C370))</x:f>
      </x:c>
      <x:c r="F370" s="43" t="str">
        <x:f>IF(C370="","",WEEKNUM(C370,21))</x:f>
      </x:c>
      <x:c r="G370" s="43" t="str">
        <x:f>IF(C370="","",CHOOSE(WEEKDAY(C370,2),"Lundi","Mardi","Mercredi","Jeudi","Vendredi","Samedi","Dimanche"))</x:f>
      </x:c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  <x:c r="AA370" s="43"/>
      <x:c r="AB370" s="43"/>
      <x:c r="AC370" s="43"/>
      <x:c r="AD370" s="43"/>
      <x:c r="AE370" s="43"/>
      <x:c r="AF370" s="43"/>
      <x:c r="AG370" s="67"/>
      <x:c r="AH370" s="43"/>
      <x:c r="AI370" s="43"/>
    </x:row>
    <x:row r="371">
      <x:c r="A371" s="43"/>
      <x:c r="B371" s="43"/>
      <x:c r="C371" s="43"/>
      <x:c r="D371" s="43" t="str">
        <x:f>IF(C371="","",YEAR(C371))</x:f>
      </x:c>
      <x:c r="E371" s="43" t="str">
        <x:f>IF(C371="","",MONTH(C371))</x:f>
      </x:c>
      <x:c r="F371" s="43" t="str">
        <x:f>IF(C371="","",WEEKNUM(C371,21))</x:f>
      </x:c>
      <x:c r="G371" s="43" t="str">
        <x:f>IF(C371="","",CHOOSE(WEEKDAY(C371,2),"Lundi","Mardi","Mercredi","Jeudi","Vendredi","Samedi","Dimanche"))</x:f>
      </x:c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  <x:c r="AA371" s="43"/>
      <x:c r="AB371" s="43"/>
      <x:c r="AC371" s="43"/>
      <x:c r="AD371" s="43"/>
      <x:c r="AE371" s="43"/>
      <x:c r="AF371" s="43"/>
      <x:c r="AG371" s="67"/>
      <x:c r="AH371" s="43"/>
      <x:c r="AI371" s="43"/>
    </x:row>
    <x:row r="372">
      <x:c r="A372" s="43"/>
      <x:c r="B372" s="43"/>
      <x:c r="C372" s="43"/>
      <x:c r="D372" s="43" t="str">
        <x:f>IF(C372="","",YEAR(C372))</x:f>
      </x:c>
      <x:c r="E372" s="43" t="str">
        <x:f>IF(C372="","",MONTH(C372))</x:f>
      </x:c>
      <x:c r="F372" s="43" t="str">
        <x:f>IF(C372="","",WEEKNUM(C372,21))</x:f>
      </x:c>
      <x:c r="G372" s="43" t="str">
        <x:f>IF(C372="","",CHOOSE(WEEKDAY(C372,2),"Lundi","Mardi","Mercredi","Jeudi","Vendredi","Samedi","Dimanche"))</x:f>
      </x:c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  <x:c r="AA372" s="43"/>
      <x:c r="AB372" s="43"/>
      <x:c r="AC372" s="43"/>
      <x:c r="AD372" s="43"/>
      <x:c r="AE372" s="43"/>
      <x:c r="AF372" s="43"/>
      <x:c r="AG372" s="67"/>
      <x:c r="AH372" s="43"/>
      <x:c r="AI372" s="43"/>
    </x:row>
    <x:row r="373">
      <x:c r="A373" s="43"/>
      <x:c r="B373" s="43"/>
      <x:c r="C373" s="43"/>
      <x:c r="D373" s="43" t="str">
        <x:f>IF(C373="","",YEAR(C373))</x:f>
      </x:c>
      <x:c r="E373" s="43" t="str">
        <x:f>IF(C373="","",MONTH(C373))</x:f>
      </x:c>
      <x:c r="F373" s="43" t="str">
        <x:f>IF(C373="","",WEEKNUM(C373,21))</x:f>
      </x:c>
      <x:c r="G373" s="43" t="str">
        <x:f>IF(C373="","",CHOOSE(WEEKDAY(C373,2),"Lundi","Mardi","Mercredi","Jeudi","Vendredi","Samedi","Dimanche"))</x:f>
      </x:c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  <x:c r="AA373" s="43"/>
      <x:c r="AB373" s="43"/>
      <x:c r="AC373" s="43"/>
      <x:c r="AD373" s="43"/>
      <x:c r="AE373" s="43"/>
      <x:c r="AF373" s="43"/>
      <x:c r="AG373" s="67"/>
      <x:c r="AH373" s="43"/>
      <x:c r="AI373" s="43"/>
    </x:row>
    <x:row r="374">
      <x:c r="A374" s="43"/>
      <x:c r="B374" s="43"/>
      <x:c r="C374" s="43"/>
      <x:c r="D374" s="43" t="str">
        <x:f>IF(C374="","",YEAR(C374))</x:f>
      </x:c>
      <x:c r="E374" s="43" t="str">
        <x:f>IF(C374="","",MONTH(C374))</x:f>
      </x:c>
      <x:c r="F374" s="43" t="str">
        <x:f>IF(C374="","",WEEKNUM(C374,21))</x:f>
      </x:c>
      <x:c r="G374" s="43" t="str">
        <x:f>IF(C374="","",CHOOSE(WEEKDAY(C374,2),"Lundi","Mardi","Mercredi","Jeudi","Vendredi","Samedi","Dimanche"))</x:f>
      </x:c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  <x:c r="AA374" s="43"/>
      <x:c r="AB374" s="43"/>
      <x:c r="AC374" s="43"/>
      <x:c r="AD374" s="43"/>
      <x:c r="AE374" s="43"/>
      <x:c r="AF374" s="43"/>
      <x:c r="AG374" s="67"/>
      <x:c r="AH374" s="43"/>
      <x:c r="AI374" s="43"/>
    </x:row>
    <x:row r="375">
      <x:c r="A375" s="43"/>
      <x:c r="B375" s="43"/>
      <x:c r="C375" s="43"/>
      <x:c r="D375" s="43" t="str">
        <x:f>IF(C375="","",YEAR(C375))</x:f>
      </x:c>
      <x:c r="E375" s="43" t="str">
        <x:f>IF(C375="","",MONTH(C375))</x:f>
      </x:c>
      <x:c r="F375" s="43" t="str">
        <x:f>IF(C375="","",WEEKNUM(C375,21))</x:f>
      </x:c>
      <x:c r="G375" s="43" t="str">
        <x:f>IF(C375="","",CHOOSE(WEEKDAY(C375,2),"Lundi","Mardi","Mercredi","Jeudi","Vendredi","Samedi","Dimanche"))</x:f>
      </x:c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  <x:c r="AA375" s="43"/>
      <x:c r="AB375" s="43"/>
      <x:c r="AC375" s="43"/>
      <x:c r="AD375" s="43"/>
      <x:c r="AE375" s="43"/>
      <x:c r="AF375" s="43"/>
      <x:c r="AG375" s="67"/>
      <x:c r="AH375" s="43"/>
      <x:c r="AI375" s="43"/>
    </x:row>
    <x:row r="376">
      <x:c r="A376" s="43"/>
      <x:c r="B376" s="43"/>
      <x:c r="C376" s="43"/>
      <x:c r="D376" s="43" t="str">
        <x:f>IF(C376="","",YEAR(C376))</x:f>
      </x:c>
      <x:c r="E376" s="43" t="str">
        <x:f>IF(C376="","",MONTH(C376))</x:f>
      </x:c>
      <x:c r="F376" s="43" t="str">
        <x:f>IF(C376="","",WEEKNUM(C376,21))</x:f>
      </x:c>
      <x:c r="G376" s="43" t="str">
        <x:f>IF(C376="","",CHOOSE(WEEKDAY(C376,2),"Lundi","Mardi","Mercredi","Jeudi","Vendredi","Samedi","Dimanche"))</x:f>
      </x:c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  <x:c r="AA376" s="43"/>
      <x:c r="AB376" s="43"/>
      <x:c r="AC376" s="43"/>
      <x:c r="AD376" s="43"/>
      <x:c r="AE376" s="43"/>
      <x:c r="AF376" s="43"/>
      <x:c r="AG376" s="67"/>
      <x:c r="AH376" s="43"/>
      <x:c r="AI376" s="43"/>
    </x:row>
    <x:row r="377">
      <x:c r="A377" s="43"/>
      <x:c r="B377" s="43"/>
      <x:c r="C377" s="43"/>
      <x:c r="D377" s="43" t="str">
        <x:f>IF(C377="","",YEAR(C377))</x:f>
      </x:c>
      <x:c r="E377" s="43" t="str">
        <x:f>IF(C377="","",MONTH(C377))</x:f>
      </x:c>
      <x:c r="F377" s="43" t="str">
        <x:f>IF(C377="","",WEEKNUM(C377,21))</x:f>
      </x:c>
      <x:c r="G377" s="43" t="str">
        <x:f>IF(C377="","",CHOOSE(WEEKDAY(C377,2),"Lundi","Mardi","Mercredi","Jeudi","Vendredi","Samedi","Dimanche"))</x:f>
      </x:c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  <x:c r="AA377" s="43"/>
      <x:c r="AB377" s="43"/>
      <x:c r="AC377" s="43"/>
      <x:c r="AD377" s="43"/>
      <x:c r="AE377" s="43"/>
      <x:c r="AF377" s="43"/>
      <x:c r="AG377" s="67"/>
      <x:c r="AH377" s="43"/>
      <x:c r="AI377" s="43"/>
    </x:row>
    <x:row r="378">
      <x:c r="A378" s="43"/>
      <x:c r="B378" s="43"/>
      <x:c r="C378" s="43"/>
      <x:c r="D378" s="43" t="str">
        <x:f>IF(C378="","",YEAR(C378))</x:f>
      </x:c>
      <x:c r="E378" s="43" t="str">
        <x:f>IF(C378="","",MONTH(C378))</x:f>
      </x:c>
      <x:c r="F378" s="43" t="str">
        <x:f>IF(C378="","",WEEKNUM(C378,21))</x:f>
      </x:c>
      <x:c r="G378" s="43" t="str">
        <x:f>IF(C378="","",CHOOSE(WEEKDAY(C378,2),"Lundi","Mardi","Mercredi","Jeudi","Vendredi","Samedi","Dimanche"))</x:f>
      </x:c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  <x:c r="AA378" s="43"/>
      <x:c r="AB378" s="43"/>
      <x:c r="AC378" s="43"/>
      <x:c r="AD378" s="43"/>
      <x:c r="AE378" s="43"/>
      <x:c r="AF378" s="43"/>
      <x:c r="AG378" s="67"/>
      <x:c r="AH378" s="43"/>
      <x:c r="AI378" s="43"/>
    </x:row>
    <x:row r="379">
      <x:c r="A379" s="43"/>
      <x:c r="B379" s="43"/>
      <x:c r="C379" s="43"/>
      <x:c r="D379" s="43" t="str">
        <x:f>IF(C379="","",YEAR(C379))</x:f>
      </x:c>
      <x:c r="E379" s="43" t="str">
        <x:f>IF(C379="","",MONTH(C379))</x:f>
      </x:c>
      <x:c r="F379" s="43" t="str">
        <x:f>IF(C379="","",WEEKNUM(C379,21))</x:f>
      </x:c>
      <x:c r="G379" s="43" t="str">
        <x:f>IF(C379="","",CHOOSE(WEEKDAY(C379,2),"Lundi","Mardi","Mercredi","Jeudi","Vendredi","Samedi","Dimanche"))</x:f>
      </x:c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  <x:c r="AA379" s="43"/>
      <x:c r="AB379" s="43"/>
      <x:c r="AC379" s="43"/>
      <x:c r="AD379" s="43"/>
      <x:c r="AE379" s="43"/>
      <x:c r="AF379" s="43"/>
      <x:c r="AG379" s="67"/>
      <x:c r="AH379" s="43"/>
      <x:c r="AI379" s="43"/>
    </x:row>
    <x:row r="380">
      <x:c r="A380" s="43"/>
      <x:c r="B380" s="43"/>
      <x:c r="C380" s="43"/>
      <x:c r="D380" s="43" t="str">
        <x:f>IF(C380="","",YEAR(C380))</x:f>
      </x:c>
      <x:c r="E380" s="43" t="str">
        <x:f>IF(C380="","",MONTH(C380))</x:f>
      </x:c>
      <x:c r="F380" s="43" t="str">
        <x:f>IF(C380="","",WEEKNUM(C380,21))</x:f>
      </x:c>
      <x:c r="G380" s="43" t="str">
        <x:f>IF(C380="","",CHOOSE(WEEKDAY(C380,2),"Lundi","Mardi","Mercredi","Jeudi","Vendredi","Samedi","Dimanche"))</x:f>
      </x:c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  <x:c r="AA380" s="43"/>
      <x:c r="AB380" s="43"/>
      <x:c r="AC380" s="43"/>
      <x:c r="AD380" s="43"/>
      <x:c r="AE380" s="43"/>
      <x:c r="AF380" s="43"/>
      <x:c r="AG380" s="67"/>
      <x:c r="AH380" s="43"/>
      <x:c r="AI380" s="43"/>
    </x:row>
    <x:row r="381">
      <x:c r="A381" s="43"/>
      <x:c r="B381" s="43"/>
      <x:c r="C381" s="43"/>
      <x:c r="D381" s="43" t="str">
        <x:f>IF(C381="","",YEAR(C381))</x:f>
      </x:c>
      <x:c r="E381" s="43" t="str">
        <x:f>IF(C381="","",MONTH(C381))</x:f>
      </x:c>
      <x:c r="F381" s="43" t="str">
        <x:f>IF(C381="","",WEEKNUM(C381,21))</x:f>
      </x:c>
      <x:c r="G381" s="43" t="str">
        <x:f>IF(C381="","",CHOOSE(WEEKDAY(C381,2),"Lundi","Mardi","Mercredi","Jeudi","Vendredi","Samedi","Dimanche"))</x:f>
      </x:c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  <x:c r="AA381" s="43"/>
      <x:c r="AB381" s="43"/>
      <x:c r="AC381" s="43"/>
      <x:c r="AD381" s="43"/>
      <x:c r="AE381" s="43"/>
      <x:c r="AF381" s="43"/>
      <x:c r="AG381" s="67"/>
      <x:c r="AH381" s="43"/>
      <x:c r="AI381" s="43"/>
    </x:row>
    <x:row r="382">
      <x:c r="A382" s="43"/>
      <x:c r="B382" s="43"/>
      <x:c r="C382" s="43"/>
      <x:c r="D382" s="43" t="str">
        <x:f>IF(C382="","",YEAR(C382))</x:f>
      </x:c>
      <x:c r="E382" s="43" t="str">
        <x:f>IF(C382="","",MONTH(C382))</x:f>
      </x:c>
      <x:c r="F382" s="43" t="str">
        <x:f>IF(C382="","",WEEKNUM(C382,21))</x:f>
      </x:c>
      <x:c r="G382" s="43" t="str">
        <x:f>IF(C382="","",CHOOSE(WEEKDAY(C382,2),"Lundi","Mardi","Mercredi","Jeudi","Vendredi","Samedi","Dimanche"))</x:f>
      </x:c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  <x:c r="AA382" s="43"/>
      <x:c r="AB382" s="43"/>
      <x:c r="AC382" s="43"/>
      <x:c r="AD382" s="43"/>
      <x:c r="AE382" s="43"/>
      <x:c r="AF382" s="43"/>
      <x:c r="AG382" s="67"/>
      <x:c r="AH382" s="43"/>
      <x:c r="AI382" s="43"/>
    </x:row>
    <x:row r="383">
      <x:c r="A383" s="43"/>
      <x:c r="B383" s="43"/>
      <x:c r="C383" s="43"/>
      <x:c r="D383" s="43" t="str">
        <x:f>IF(C383="","",YEAR(C383))</x:f>
      </x:c>
      <x:c r="E383" s="43" t="str">
        <x:f>IF(C383="","",MONTH(C383))</x:f>
      </x:c>
      <x:c r="F383" s="43" t="str">
        <x:f>IF(C383="","",WEEKNUM(C383,21))</x:f>
      </x:c>
      <x:c r="G383" s="43" t="str">
        <x:f>IF(C383="","",CHOOSE(WEEKDAY(C383,2),"Lundi","Mardi","Mercredi","Jeudi","Vendredi","Samedi","Dimanche"))</x:f>
      </x:c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  <x:c r="AA383" s="43"/>
      <x:c r="AB383" s="43"/>
      <x:c r="AC383" s="43"/>
      <x:c r="AD383" s="43"/>
      <x:c r="AE383" s="43"/>
      <x:c r="AF383" s="43"/>
      <x:c r="AG383" s="67"/>
      <x:c r="AH383" s="43"/>
      <x:c r="AI383" s="43"/>
    </x:row>
    <x:row r="384">
      <x:c r="A384" s="43"/>
      <x:c r="B384" s="43"/>
      <x:c r="C384" s="43"/>
      <x:c r="D384" s="43" t="str">
        <x:f>IF(C384="","",YEAR(C384))</x:f>
      </x:c>
      <x:c r="E384" s="43" t="str">
        <x:f>IF(C384="","",MONTH(C384))</x:f>
      </x:c>
      <x:c r="F384" s="43" t="str">
        <x:f>IF(C384="","",WEEKNUM(C384,21))</x:f>
      </x:c>
      <x:c r="G384" s="43" t="str">
        <x:f>IF(C384="","",CHOOSE(WEEKDAY(C384,2),"Lundi","Mardi","Mercredi","Jeudi","Vendredi","Samedi","Dimanche"))</x:f>
      </x:c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  <x:c r="AA384" s="43"/>
      <x:c r="AB384" s="43"/>
      <x:c r="AC384" s="43"/>
      <x:c r="AD384" s="43"/>
      <x:c r="AE384" s="43"/>
      <x:c r="AF384" s="43"/>
      <x:c r="AG384" s="67"/>
      <x:c r="AH384" s="43"/>
      <x:c r="AI384" s="43"/>
    </x:row>
    <x:row r="385">
      <x:c r="A385" s="43"/>
      <x:c r="B385" s="43"/>
      <x:c r="C385" s="43"/>
      <x:c r="D385" s="43" t="str">
        <x:f>IF(C385="","",YEAR(C385))</x:f>
      </x:c>
      <x:c r="E385" s="43" t="str">
        <x:f>IF(C385="","",MONTH(C385))</x:f>
      </x:c>
      <x:c r="F385" s="43" t="str">
        <x:f>IF(C385="","",WEEKNUM(C385,21))</x:f>
      </x:c>
      <x:c r="G385" s="43" t="str">
        <x:f>IF(C385="","",CHOOSE(WEEKDAY(C385,2),"Lundi","Mardi","Mercredi","Jeudi","Vendredi","Samedi","Dimanche"))</x:f>
      </x:c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  <x:c r="AA385" s="43"/>
      <x:c r="AB385" s="43"/>
      <x:c r="AC385" s="43"/>
      <x:c r="AD385" s="43"/>
      <x:c r="AE385" s="43"/>
      <x:c r="AF385" s="43"/>
      <x:c r="AG385" s="67"/>
      <x:c r="AH385" s="43"/>
      <x:c r="AI385" s="43"/>
    </x:row>
    <x:row r="386">
      <x:c r="A386" s="43"/>
      <x:c r="B386" s="43"/>
      <x:c r="C386" s="43"/>
      <x:c r="D386" s="43" t="str">
        <x:f>IF(C386="","",YEAR(C386))</x:f>
      </x:c>
      <x:c r="E386" s="43" t="str">
        <x:f>IF(C386="","",MONTH(C386))</x:f>
      </x:c>
      <x:c r="F386" s="43" t="str">
        <x:f>IF(C386="","",WEEKNUM(C386,21))</x:f>
      </x:c>
      <x:c r="G386" s="43" t="str">
        <x:f>IF(C386="","",CHOOSE(WEEKDAY(C386,2),"Lundi","Mardi","Mercredi","Jeudi","Vendredi","Samedi","Dimanche"))</x:f>
      </x:c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  <x:c r="AA386" s="43"/>
      <x:c r="AB386" s="43"/>
      <x:c r="AC386" s="43"/>
      <x:c r="AD386" s="43"/>
      <x:c r="AE386" s="43"/>
      <x:c r="AF386" s="43"/>
      <x:c r="AG386" s="67"/>
      <x:c r="AH386" s="43"/>
      <x:c r="AI386" s="43"/>
    </x:row>
    <x:row r="387">
      <x:c r="A387" s="43"/>
      <x:c r="B387" s="43"/>
      <x:c r="C387" s="43"/>
      <x:c r="D387" s="43" t="str">
        <x:f>IF(C387="","",YEAR(C387))</x:f>
      </x:c>
      <x:c r="E387" s="43" t="str">
        <x:f>IF(C387="","",MONTH(C387))</x:f>
      </x:c>
      <x:c r="F387" s="43" t="str">
        <x:f>IF(C387="","",WEEKNUM(C387,21))</x:f>
      </x:c>
      <x:c r="G387" s="43" t="str">
        <x:f>IF(C387="","",CHOOSE(WEEKDAY(C387,2),"Lundi","Mardi","Mercredi","Jeudi","Vendredi","Samedi","Dimanche"))</x:f>
      </x:c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  <x:c r="AA387" s="43"/>
      <x:c r="AB387" s="43"/>
      <x:c r="AC387" s="43"/>
      <x:c r="AD387" s="43"/>
      <x:c r="AE387" s="43"/>
      <x:c r="AF387" s="43"/>
      <x:c r="AG387" s="67"/>
      <x:c r="AH387" s="43"/>
      <x:c r="AI387" s="43"/>
    </x:row>
    <x:row r="388">
      <x:c r="A388" s="43"/>
      <x:c r="B388" s="43"/>
      <x:c r="C388" s="43"/>
      <x:c r="D388" s="43" t="str">
        <x:f>IF(C388="","",YEAR(C388))</x:f>
      </x:c>
      <x:c r="E388" s="43" t="str">
        <x:f>IF(C388="","",MONTH(C388))</x:f>
      </x:c>
      <x:c r="F388" s="43" t="str">
        <x:f>IF(C388="","",WEEKNUM(C388,21))</x:f>
      </x:c>
      <x:c r="G388" s="43" t="str">
        <x:f>IF(C388="","",CHOOSE(WEEKDAY(C388,2),"Lundi","Mardi","Mercredi","Jeudi","Vendredi","Samedi","Dimanche"))</x:f>
      </x:c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  <x:c r="AA388" s="43"/>
      <x:c r="AB388" s="43"/>
      <x:c r="AC388" s="43"/>
      <x:c r="AD388" s="43"/>
      <x:c r="AE388" s="43"/>
      <x:c r="AF388" s="43"/>
      <x:c r="AG388" s="67"/>
      <x:c r="AH388" s="43"/>
      <x:c r="AI388" s="43"/>
    </x:row>
    <x:row r="389">
      <x:c r="A389" s="43"/>
      <x:c r="B389" s="43"/>
      <x:c r="C389" s="43"/>
      <x:c r="D389" s="43" t="str">
        <x:f>IF(C389="","",YEAR(C389))</x:f>
      </x:c>
      <x:c r="E389" s="43" t="str">
        <x:f>IF(C389="","",MONTH(C389))</x:f>
      </x:c>
      <x:c r="F389" s="43" t="str">
        <x:f>IF(C389="","",WEEKNUM(C389,21))</x:f>
      </x:c>
      <x:c r="G389" s="43" t="str">
        <x:f>IF(C389="","",CHOOSE(WEEKDAY(C389,2),"Lundi","Mardi","Mercredi","Jeudi","Vendredi","Samedi","Dimanche"))</x:f>
      </x:c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  <x:c r="AA389" s="43"/>
      <x:c r="AB389" s="43"/>
      <x:c r="AC389" s="43"/>
      <x:c r="AD389" s="43"/>
      <x:c r="AE389" s="43"/>
      <x:c r="AF389" s="43"/>
      <x:c r="AG389" s="67"/>
      <x:c r="AH389" s="43"/>
      <x:c r="AI389" s="43"/>
    </x:row>
    <x:row r="390">
      <x:c r="A390" s="43"/>
      <x:c r="B390" s="43"/>
      <x:c r="C390" s="43"/>
      <x:c r="D390" s="43" t="str">
        <x:f>IF(C390="","",YEAR(C390))</x:f>
      </x:c>
      <x:c r="E390" s="43" t="str">
        <x:f>IF(C390="","",MONTH(C390))</x:f>
      </x:c>
      <x:c r="F390" s="43" t="str">
        <x:f>IF(C390="","",WEEKNUM(C390,21))</x:f>
      </x:c>
      <x:c r="G390" s="43" t="str">
        <x:f>IF(C390="","",CHOOSE(WEEKDAY(C390,2),"Lundi","Mardi","Mercredi","Jeudi","Vendredi","Samedi","Dimanche"))</x:f>
      </x:c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  <x:c r="AA390" s="43"/>
      <x:c r="AB390" s="43"/>
      <x:c r="AC390" s="43"/>
      <x:c r="AD390" s="43"/>
      <x:c r="AE390" s="43"/>
      <x:c r="AF390" s="43"/>
      <x:c r="AG390" s="67"/>
      <x:c r="AH390" s="43"/>
      <x:c r="AI390" s="43"/>
    </x:row>
    <x:row r="391">
      <x:c r="A391" s="43"/>
      <x:c r="B391" s="43"/>
      <x:c r="C391" s="43"/>
      <x:c r="D391" s="43" t="str">
        <x:f>IF(C391="","",YEAR(C391))</x:f>
      </x:c>
      <x:c r="E391" s="43" t="str">
        <x:f>IF(C391="","",MONTH(C391))</x:f>
      </x:c>
      <x:c r="F391" s="43" t="str">
        <x:f>IF(C391="","",WEEKNUM(C391,21))</x:f>
      </x:c>
      <x:c r="G391" s="43" t="str">
        <x:f>IF(C391="","",CHOOSE(WEEKDAY(C391,2),"Lundi","Mardi","Mercredi","Jeudi","Vendredi","Samedi","Dimanche"))</x:f>
      </x:c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  <x:c r="AA391" s="43"/>
      <x:c r="AB391" s="43"/>
      <x:c r="AC391" s="43"/>
      <x:c r="AD391" s="43"/>
      <x:c r="AE391" s="43"/>
      <x:c r="AF391" s="43"/>
      <x:c r="AG391" s="67"/>
      <x:c r="AH391" s="43"/>
      <x:c r="AI391" s="43"/>
    </x:row>
    <x:row r="392">
      <x:c r="A392" s="43"/>
      <x:c r="B392" s="43"/>
      <x:c r="C392" s="43"/>
      <x:c r="D392" s="43" t="str">
        <x:f>IF(C392="","",YEAR(C392))</x:f>
      </x:c>
      <x:c r="E392" s="43" t="str">
        <x:f>IF(C392="","",MONTH(C392))</x:f>
      </x:c>
      <x:c r="F392" s="43" t="str">
        <x:f>IF(C392="","",WEEKNUM(C392,21))</x:f>
      </x:c>
      <x:c r="G392" s="43" t="str">
        <x:f>IF(C392="","",CHOOSE(WEEKDAY(C392,2),"Lundi","Mardi","Mercredi","Jeudi","Vendredi","Samedi","Dimanche"))</x:f>
      </x:c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  <x:c r="AA392" s="43"/>
      <x:c r="AB392" s="43"/>
      <x:c r="AC392" s="43"/>
      <x:c r="AD392" s="43"/>
      <x:c r="AE392" s="43"/>
      <x:c r="AF392" s="43"/>
      <x:c r="AG392" s="67"/>
      <x:c r="AH392" s="43"/>
      <x:c r="AI392" s="43"/>
    </x:row>
    <x:row r="393">
      <x:c r="A393" s="43"/>
      <x:c r="B393" s="43"/>
      <x:c r="C393" s="43"/>
      <x:c r="D393" s="43" t="str">
        <x:f>IF(C393="","",YEAR(C393))</x:f>
      </x:c>
      <x:c r="E393" s="43" t="str">
        <x:f>IF(C393="","",MONTH(C393))</x:f>
      </x:c>
      <x:c r="F393" s="43" t="str">
        <x:f>IF(C393="","",WEEKNUM(C393,21))</x:f>
      </x:c>
      <x:c r="G393" s="43" t="str">
        <x:f>IF(C393="","",CHOOSE(WEEKDAY(C393,2),"Lundi","Mardi","Mercredi","Jeudi","Vendredi","Samedi","Dimanche"))</x:f>
      </x:c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  <x:c r="AA393" s="43"/>
      <x:c r="AB393" s="43"/>
      <x:c r="AC393" s="43"/>
      <x:c r="AD393" s="43"/>
      <x:c r="AE393" s="43"/>
      <x:c r="AF393" s="43"/>
      <x:c r="AG393" s="67"/>
      <x:c r="AH393" s="43"/>
      <x:c r="AI393" s="43"/>
    </x:row>
    <x:row r="394">
      <x:c r="A394" s="43"/>
      <x:c r="B394" s="43"/>
      <x:c r="C394" s="43"/>
      <x:c r="D394" s="43" t="str">
        <x:f>IF(C394="","",YEAR(C394))</x:f>
      </x:c>
      <x:c r="E394" s="43" t="str">
        <x:f>IF(C394="","",MONTH(C394))</x:f>
      </x:c>
      <x:c r="F394" s="43" t="str">
        <x:f>IF(C394="","",WEEKNUM(C394,21))</x:f>
      </x:c>
      <x:c r="G394" s="43" t="str">
        <x:f>IF(C394="","",CHOOSE(WEEKDAY(C394,2),"Lundi","Mardi","Mercredi","Jeudi","Vendredi","Samedi","Dimanche"))</x:f>
      </x:c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  <x:c r="AA394" s="43"/>
      <x:c r="AB394" s="43"/>
      <x:c r="AC394" s="43"/>
      <x:c r="AD394" s="43"/>
      <x:c r="AE394" s="43"/>
      <x:c r="AF394" s="43"/>
      <x:c r="AG394" s="67"/>
      <x:c r="AH394" s="43"/>
      <x:c r="AI394" s="43"/>
    </x:row>
    <x:row r="395">
      <x:c r="A395" s="43"/>
      <x:c r="B395" s="43"/>
      <x:c r="C395" s="43"/>
      <x:c r="D395" s="43" t="str">
        <x:f>IF(C395="","",YEAR(C395))</x:f>
      </x:c>
      <x:c r="E395" s="43" t="str">
        <x:f>IF(C395="","",MONTH(C395))</x:f>
      </x:c>
      <x:c r="F395" s="43" t="str">
        <x:f>IF(C395="","",WEEKNUM(C395,21))</x:f>
      </x:c>
      <x:c r="G395" s="43" t="str">
        <x:f>IF(C395="","",CHOOSE(WEEKDAY(C395,2),"Lundi","Mardi","Mercredi","Jeudi","Vendredi","Samedi","Dimanche"))</x:f>
      </x:c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  <x:c r="AA395" s="43"/>
      <x:c r="AB395" s="43"/>
      <x:c r="AC395" s="43"/>
      <x:c r="AD395" s="43"/>
      <x:c r="AE395" s="43"/>
      <x:c r="AF395" s="43"/>
      <x:c r="AG395" s="67"/>
      <x:c r="AH395" s="43"/>
      <x:c r="AI395" s="43"/>
    </x:row>
    <x:row r="396">
      <x:c r="A396" s="43"/>
      <x:c r="B396" s="43"/>
      <x:c r="C396" s="43"/>
      <x:c r="D396" s="43" t="str">
        <x:f>IF(C396="","",YEAR(C396))</x:f>
      </x:c>
      <x:c r="E396" s="43" t="str">
        <x:f>IF(C396="","",MONTH(C396))</x:f>
      </x:c>
      <x:c r="F396" s="43" t="str">
        <x:f>IF(C396="","",WEEKNUM(C396,21))</x:f>
      </x:c>
      <x:c r="G396" s="43" t="str">
        <x:f>IF(C396="","",CHOOSE(WEEKDAY(C396,2),"Lundi","Mardi","Mercredi","Jeudi","Vendredi","Samedi","Dimanche"))</x:f>
      </x:c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  <x:c r="AA396" s="43"/>
      <x:c r="AB396" s="43"/>
      <x:c r="AC396" s="43"/>
      <x:c r="AD396" s="43"/>
      <x:c r="AE396" s="43"/>
      <x:c r="AF396" s="43"/>
      <x:c r="AG396" s="67"/>
      <x:c r="AH396" s="43"/>
      <x:c r="AI396" s="43"/>
    </x:row>
    <x:row r="397">
      <x:c r="A397" s="43"/>
      <x:c r="B397" s="43"/>
      <x:c r="C397" s="43"/>
      <x:c r="D397" s="43" t="str">
        <x:f>IF(C397="","",YEAR(C397))</x:f>
      </x:c>
      <x:c r="E397" s="43" t="str">
        <x:f>IF(C397="","",MONTH(C397))</x:f>
      </x:c>
      <x:c r="F397" s="43" t="str">
        <x:f>IF(C397="","",WEEKNUM(C397,21))</x:f>
      </x:c>
      <x:c r="G397" s="43" t="str">
        <x:f>IF(C397="","",CHOOSE(WEEKDAY(C397,2),"Lundi","Mardi","Mercredi","Jeudi","Vendredi","Samedi","Dimanche"))</x:f>
      </x:c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  <x:c r="AA397" s="43"/>
      <x:c r="AB397" s="43"/>
      <x:c r="AC397" s="43"/>
      <x:c r="AD397" s="43"/>
      <x:c r="AE397" s="43"/>
      <x:c r="AF397" s="43"/>
      <x:c r="AG397" s="67"/>
      <x:c r="AH397" s="43"/>
      <x:c r="AI397" s="43"/>
    </x:row>
    <x:row r="398">
      <x:c r="A398" s="43"/>
      <x:c r="B398" s="43"/>
      <x:c r="C398" s="43"/>
      <x:c r="D398" s="43" t="str">
        <x:f>IF(C398="","",YEAR(C398))</x:f>
      </x:c>
      <x:c r="E398" s="43" t="str">
        <x:f>IF(C398="","",MONTH(C398))</x:f>
      </x:c>
      <x:c r="F398" s="43" t="str">
        <x:f>IF(C398="","",WEEKNUM(C398,21))</x:f>
      </x:c>
      <x:c r="G398" s="43" t="str">
        <x:f>IF(C398="","",CHOOSE(WEEKDAY(C398,2),"Lundi","Mardi","Mercredi","Jeudi","Vendredi","Samedi","Dimanche"))</x:f>
      </x:c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  <x:c r="AA398" s="43"/>
      <x:c r="AB398" s="43"/>
      <x:c r="AC398" s="43"/>
      <x:c r="AD398" s="43"/>
      <x:c r="AE398" s="43"/>
      <x:c r="AF398" s="43"/>
      <x:c r="AG398" s="67"/>
      <x:c r="AH398" s="43"/>
      <x:c r="AI398" s="43"/>
    </x:row>
    <x:row r="399">
      <x:c r="A399" s="43"/>
      <x:c r="B399" s="43"/>
      <x:c r="C399" s="43"/>
      <x:c r="D399" s="43" t="str">
        <x:f>IF(C399="","",YEAR(C399))</x:f>
      </x:c>
      <x:c r="E399" s="43" t="str">
        <x:f>IF(C399="","",MONTH(C399))</x:f>
      </x:c>
      <x:c r="F399" s="43" t="str">
        <x:f>IF(C399="","",WEEKNUM(C399,21))</x:f>
      </x:c>
      <x:c r="G399" s="43" t="str">
        <x:f>IF(C399="","",CHOOSE(WEEKDAY(C399,2),"Lundi","Mardi","Mercredi","Jeudi","Vendredi","Samedi","Dimanche"))</x:f>
      </x:c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  <x:c r="AA399" s="43"/>
      <x:c r="AB399" s="43"/>
      <x:c r="AC399" s="43"/>
      <x:c r="AD399" s="43"/>
      <x:c r="AE399" s="43"/>
      <x:c r="AF399" s="43"/>
      <x:c r="AG399" s="67"/>
      <x:c r="AH399" s="43"/>
      <x:c r="AI399" s="43"/>
    </x:row>
    <x:row r="400">
      <x:c r="A400" s="43"/>
      <x:c r="B400" s="43"/>
      <x:c r="C400" s="43"/>
      <x:c r="D400" s="43" t="str">
        <x:f>IF(C400="","",YEAR(C400))</x:f>
      </x:c>
      <x:c r="E400" s="43" t="str">
        <x:f>IF(C400="","",MONTH(C400))</x:f>
      </x:c>
      <x:c r="F400" s="43" t="str">
        <x:f>IF(C400="","",WEEKNUM(C400,21))</x:f>
      </x:c>
      <x:c r="G400" s="43" t="str">
        <x:f>IF(C400="","",CHOOSE(WEEKDAY(C400,2),"Lundi","Mardi","Mercredi","Jeudi","Vendredi","Samedi","Dimanche"))</x:f>
      </x:c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  <x:c r="AA400" s="43"/>
      <x:c r="AB400" s="43"/>
      <x:c r="AC400" s="43"/>
      <x:c r="AD400" s="43"/>
      <x:c r="AE400" s="43"/>
      <x:c r="AF400" s="43"/>
      <x:c r="AG400" s="67"/>
      <x:c r="AH400" s="43"/>
      <x:c r="AI400" s="43"/>
    </x:row>
    <x:row r="401">
      <x:c r="A401" s="43"/>
      <x:c r="B401" s="43"/>
      <x:c r="C401" s="43"/>
      <x:c r="D401" s="43" t="str">
        <x:f>IF(C401="","",YEAR(C401))</x:f>
      </x:c>
      <x:c r="E401" s="43" t="str">
        <x:f>IF(C401="","",MONTH(C401))</x:f>
      </x:c>
      <x:c r="F401" s="43" t="str">
        <x:f>IF(C401="","",WEEKNUM(C401,21))</x:f>
      </x:c>
      <x:c r="G401" s="43" t="str">
        <x:f>IF(C401="","",CHOOSE(WEEKDAY(C401,2),"Lundi","Mardi","Mercredi","Jeudi","Vendredi","Samedi","Dimanche"))</x:f>
      </x:c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  <x:c r="AA401" s="43"/>
      <x:c r="AB401" s="43"/>
      <x:c r="AC401" s="43"/>
      <x:c r="AD401" s="43"/>
      <x:c r="AE401" s="43"/>
      <x:c r="AF401" s="43"/>
      <x:c r="AG401" s="67"/>
      <x:c r="AH401" s="43"/>
      <x:c r="AI401" s="43"/>
    </x:row>
    <x:row r="402">
      <x:c r="A402" s="43"/>
      <x:c r="B402" s="43"/>
      <x:c r="C402" s="43"/>
      <x:c r="D402" s="43" t="str">
        <x:f>IF(C402="","",YEAR(C402))</x:f>
      </x:c>
      <x:c r="E402" s="43" t="str">
        <x:f>IF(C402="","",MONTH(C402))</x:f>
      </x:c>
      <x:c r="F402" s="43" t="str">
        <x:f>IF(C402="","",WEEKNUM(C402,21))</x:f>
      </x:c>
      <x:c r="G402" s="43" t="str">
        <x:f>IF(C402="","",CHOOSE(WEEKDAY(C402,2),"Lundi","Mardi","Mercredi","Jeudi","Vendredi","Samedi","Dimanche"))</x:f>
      </x:c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  <x:c r="AA402" s="43"/>
      <x:c r="AB402" s="43"/>
      <x:c r="AC402" s="43"/>
      <x:c r="AD402" s="43"/>
      <x:c r="AE402" s="43"/>
      <x:c r="AF402" s="43"/>
      <x:c r="AG402" s="67"/>
      <x:c r="AH402" s="43"/>
      <x:c r="AI402" s="43"/>
    </x:row>
    <x:row r="403">
      <x:c r="A403" s="43"/>
      <x:c r="B403" s="43"/>
      <x:c r="C403" s="43"/>
      <x:c r="D403" s="43" t="str">
        <x:f>IF(C403="","",YEAR(C403))</x:f>
      </x:c>
      <x:c r="E403" s="43" t="str">
        <x:f>IF(C403="","",MONTH(C403))</x:f>
      </x:c>
      <x:c r="F403" s="43" t="str">
        <x:f>IF(C403="","",WEEKNUM(C403,21))</x:f>
      </x:c>
      <x:c r="G403" s="43" t="str">
        <x:f>IF(C403="","",CHOOSE(WEEKDAY(C403,2),"Lundi","Mardi","Mercredi","Jeudi","Vendredi","Samedi","Dimanche"))</x:f>
      </x:c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  <x:c r="AA403" s="43"/>
      <x:c r="AB403" s="43"/>
      <x:c r="AC403" s="43"/>
      <x:c r="AD403" s="43"/>
      <x:c r="AE403" s="43"/>
      <x:c r="AF403" s="43"/>
      <x:c r="AG403" s="67"/>
      <x:c r="AH403" s="43"/>
      <x:c r="AI403" s="43"/>
    </x:row>
    <x:row r="404">
      <x:c r="A404" s="43"/>
      <x:c r="B404" s="43"/>
      <x:c r="C404" s="43"/>
      <x:c r="D404" s="43" t="str">
        <x:f>IF(C404="","",YEAR(C404))</x:f>
      </x:c>
      <x:c r="E404" s="43" t="str">
        <x:f>IF(C404="","",MONTH(C404))</x:f>
      </x:c>
      <x:c r="F404" s="43" t="str">
        <x:f>IF(C404="","",WEEKNUM(C404,21))</x:f>
      </x:c>
      <x:c r="G404" s="43" t="str">
        <x:f>IF(C404="","",CHOOSE(WEEKDAY(C404,2),"Lundi","Mardi","Mercredi","Jeudi","Vendredi","Samedi","Dimanche"))</x:f>
      </x:c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  <x:c r="AA404" s="43"/>
      <x:c r="AB404" s="43"/>
      <x:c r="AC404" s="43"/>
      <x:c r="AD404" s="43"/>
      <x:c r="AE404" s="43"/>
      <x:c r="AF404" s="43"/>
      <x:c r="AG404" s="67"/>
      <x:c r="AH404" s="43"/>
      <x:c r="AI404" s="43"/>
    </x:row>
    <x:row r="405">
      <x:c r="A405" s="43"/>
      <x:c r="B405" s="43"/>
      <x:c r="C405" s="43"/>
      <x:c r="D405" s="43" t="str">
        <x:f>IF(C405="","",YEAR(C405))</x:f>
      </x:c>
      <x:c r="E405" s="43" t="str">
        <x:f>IF(C405="","",MONTH(C405))</x:f>
      </x:c>
      <x:c r="F405" s="43" t="str">
        <x:f>IF(C405="","",WEEKNUM(C405,21))</x:f>
      </x:c>
      <x:c r="G405" s="43" t="str">
        <x:f>IF(C405="","",CHOOSE(WEEKDAY(C405,2),"Lundi","Mardi","Mercredi","Jeudi","Vendredi","Samedi","Dimanche"))</x:f>
      </x:c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  <x:c r="AA405" s="43"/>
      <x:c r="AB405" s="43"/>
      <x:c r="AC405" s="43"/>
      <x:c r="AD405" s="43"/>
      <x:c r="AE405" s="43"/>
      <x:c r="AF405" s="43"/>
      <x:c r="AG405" s="67"/>
      <x:c r="AH405" s="43"/>
      <x:c r="AI405" s="43"/>
    </x:row>
    <x:row r="406">
      <x:c r="A406" s="43"/>
      <x:c r="B406" s="43"/>
      <x:c r="C406" s="43"/>
      <x:c r="D406" s="43" t="str">
        <x:f>IF(C406="","",YEAR(C406))</x:f>
      </x:c>
      <x:c r="E406" s="43" t="str">
        <x:f>IF(C406="","",MONTH(C406))</x:f>
      </x:c>
      <x:c r="F406" s="43" t="str">
        <x:f>IF(C406="","",WEEKNUM(C406,21))</x:f>
      </x:c>
      <x:c r="G406" s="43" t="str">
        <x:f>IF(C406="","",CHOOSE(WEEKDAY(C406,2),"Lundi","Mardi","Mercredi","Jeudi","Vendredi","Samedi","Dimanche"))</x:f>
      </x:c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  <x:c r="AA406" s="43"/>
      <x:c r="AB406" s="43"/>
      <x:c r="AC406" s="43"/>
      <x:c r="AD406" s="43"/>
      <x:c r="AE406" s="43"/>
      <x:c r="AF406" s="43"/>
      <x:c r="AG406" s="67"/>
      <x:c r="AH406" s="43"/>
      <x:c r="AI406" s="43"/>
    </x:row>
    <x:row r="407">
      <x:c r="A407" s="43"/>
      <x:c r="B407" s="43"/>
      <x:c r="C407" s="43"/>
      <x:c r="D407" s="43" t="str">
        <x:f>IF(C407="","",YEAR(C407))</x:f>
      </x:c>
      <x:c r="E407" s="43" t="str">
        <x:f>IF(C407="","",MONTH(C407))</x:f>
      </x:c>
      <x:c r="F407" s="43" t="str">
        <x:f>IF(C407="","",WEEKNUM(C407,21))</x:f>
      </x:c>
      <x:c r="G407" s="43" t="str">
        <x:f>IF(C407="","",CHOOSE(WEEKDAY(C407,2),"Lundi","Mardi","Mercredi","Jeudi","Vendredi","Samedi","Dimanche"))</x:f>
      </x:c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  <x:c r="AA407" s="43"/>
      <x:c r="AB407" s="43"/>
      <x:c r="AC407" s="43"/>
      <x:c r="AD407" s="43"/>
      <x:c r="AE407" s="43"/>
      <x:c r="AF407" s="43"/>
      <x:c r="AG407" s="67"/>
      <x:c r="AH407" s="43"/>
      <x:c r="AI407" s="43"/>
    </x:row>
    <x:row r="408">
      <x:c r="A408" s="43"/>
      <x:c r="B408" s="43"/>
      <x:c r="C408" s="43"/>
      <x:c r="D408" s="43" t="str">
        <x:f>IF(C408="","",YEAR(C408))</x:f>
      </x:c>
      <x:c r="E408" s="43" t="str">
        <x:f>IF(C408="","",MONTH(C408))</x:f>
      </x:c>
      <x:c r="F408" s="43" t="str">
        <x:f>IF(C408="","",WEEKNUM(C408,21))</x:f>
      </x:c>
      <x:c r="G408" s="43" t="str">
        <x:f>IF(C408="","",CHOOSE(WEEKDAY(C408,2),"Lundi","Mardi","Mercredi","Jeudi","Vendredi","Samedi","Dimanche"))</x:f>
      </x:c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  <x:c r="AA408" s="43"/>
      <x:c r="AB408" s="43"/>
      <x:c r="AC408" s="43"/>
      <x:c r="AD408" s="43"/>
      <x:c r="AE408" s="43"/>
      <x:c r="AF408" s="43"/>
      <x:c r="AG408" s="67"/>
      <x:c r="AH408" s="43"/>
      <x:c r="AI408" s="43"/>
    </x:row>
    <x:row r="409">
      <x:c r="A409" s="43"/>
      <x:c r="B409" s="43"/>
      <x:c r="C409" s="43"/>
      <x:c r="D409" s="43" t="str">
        <x:f>IF(C409="","",YEAR(C409))</x:f>
      </x:c>
      <x:c r="E409" s="43" t="str">
        <x:f>IF(C409="","",MONTH(C409))</x:f>
      </x:c>
      <x:c r="F409" s="43" t="str">
        <x:f>IF(C409="","",WEEKNUM(C409,21))</x:f>
      </x:c>
      <x:c r="G409" s="43" t="str">
        <x:f>IF(C409="","",CHOOSE(WEEKDAY(C409,2),"Lundi","Mardi","Mercredi","Jeudi","Vendredi","Samedi","Dimanche"))</x:f>
      </x:c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  <x:c r="AA409" s="43"/>
      <x:c r="AB409" s="43"/>
      <x:c r="AC409" s="43"/>
      <x:c r="AD409" s="43"/>
      <x:c r="AE409" s="43"/>
      <x:c r="AF409" s="43"/>
      <x:c r="AG409" s="67"/>
      <x:c r="AH409" s="43"/>
      <x:c r="AI409" s="43"/>
    </x:row>
    <x:row r="410">
      <x:c r="A410" s="43"/>
      <x:c r="B410" s="43"/>
      <x:c r="C410" s="43"/>
      <x:c r="D410" s="43" t="str">
        <x:f>IF(C410="","",YEAR(C410))</x:f>
      </x:c>
      <x:c r="E410" s="43" t="str">
        <x:f>IF(C410="","",MONTH(C410))</x:f>
      </x:c>
      <x:c r="F410" s="43" t="str">
        <x:f>IF(C410="","",WEEKNUM(C410,21))</x:f>
      </x:c>
      <x:c r="G410" s="43" t="str">
        <x:f>IF(C410="","",CHOOSE(WEEKDAY(C410,2),"Lundi","Mardi","Mercredi","Jeudi","Vendredi","Samedi","Dimanche"))</x:f>
      </x:c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  <x:c r="AA410" s="43"/>
      <x:c r="AB410" s="43"/>
      <x:c r="AC410" s="43"/>
      <x:c r="AD410" s="43"/>
      <x:c r="AE410" s="43"/>
      <x:c r="AF410" s="43"/>
      <x:c r="AG410" s="67"/>
      <x:c r="AH410" s="43"/>
      <x:c r="AI410" s="43"/>
    </x:row>
    <x:row r="411">
      <x:c r="A411" s="43"/>
      <x:c r="B411" s="43"/>
      <x:c r="C411" s="43"/>
      <x:c r="D411" s="43" t="str">
        <x:f>IF(C411="","",YEAR(C411))</x:f>
      </x:c>
      <x:c r="E411" s="43" t="str">
        <x:f>IF(C411="","",MONTH(C411))</x:f>
      </x:c>
      <x:c r="F411" s="43" t="str">
        <x:f>IF(C411="","",WEEKNUM(C411,21))</x:f>
      </x:c>
      <x:c r="G411" s="43" t="str">
        <x:f>IF(C411="","",CHOOSE(WEEKDAY(C411,2),"Lundi","Mardi","Mercredi","Jeudi","Vendredi","Samedi","Dimanche"))</x:f>
      </x:c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  <x:c r="AA411" s="43"/>
      <x:c r="AB411" s="43"/>
      <x:c r="AC411" s="43"/>
      <x:c r="AD411" s="43"/>
      <x:c r="AE411" s="43"/>
      <x:c r="AF411" s="43"/>
      <x:c r="AG411" s="67"/>
      <x:c r="AH411" s="43"/>
      <x:c r="AI411" s="43"/>
    </x:row>
    <x:row r="412">
      <x:c r="A412" s="43"/>
      <x:c r="B412" s="43"/>
      <x:c r="C412" s="43"/>
      <x:c r="D412" s="43" t="str">
        <x:f>IF(C412="","",YEAR(C412))</x:f>
      </x:c>
      <x:c r="E412" s="43" t="str">
        <x:f>IF(C412="","",MONTH(C412))</x:f>
      </x:c>
      <x:c r="F412" s="43" t="str">
        <x:f>IF(C412="","",WEEKNUM(C412,21))</x:f>
      </x:c>
      <x:c r="G412" s="43" t="str">
        <x:f>IF(C412="","",CHOOSE(WEEKDAY(C412,2),"Lundi","Mardi","Mercredi","Jeudi","Vendredi","Samedi","Dimanche"))</x:f>
      </x:c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  <x:c r="AA412" s="43"/>
      <x:c r="AB412" s="43"/>
      <x:c r="AC412" s="43"/>
      <x:c r="AD412" s="43"/>
      <x:c r="AE412" s="43"/>
      <x:c r="AF412" s="43"/>
      <x:c r="AG412" s="67"/>
      <x:c r="AH412" s="43"/>
      <x:c r="AI412" s="43"/>
    </x:row>
    <x:row r="413">
      <x:c r="A413" s="43"/>
      <x:c r="B413" s="43"/>
      <x:c r="C413" s="43"/>
      <x:c r="D413" s="43" t="str">
        <x:f>IF(C413="","",YEAR(C413))</x:f>
      </x:c>
      <x:c r="E413" s="43" t="str">
        <x:f>IF(C413="","",MONTH(C413))</x:f>
      </x:c>
      <x:c r="F413" s="43" t="str">
        <x:f>IF(C413="","",WEEKNUM(C413,21))</x:f>
      </x:c>
      <x:c r="G413" s="43" t="str">
        <x:f>IF(C413="","",CHOOSE(WEEKDAY(C413,2),"Lundi","Mardi","Mercredi","Jeudi","Vendredi","Samedi","Dimanche"))</x:f>
      </x:c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  <x:c r="AA413" s="43"/>
      <x:c r="AB413" s="43"/>
      <x:c r="AC413" s="43"/>
      <x:c r="AD413" s="43"/>
      <x:c r="AE413" s="43"/>
      <x:c r="AF413" s="43"/>
      <x:c r="AG413" s="67"/>
      <x:c r="AH413" s="43"/>
      <x:c r="AI413" s="43"/>
    </x:row>
    <x:row r="414">
      <x:c r="A414" s="43"/>
      <x:c r="B414" s="43"/>
      <x:c r="C414" s="43"/>
      <x:c r="D414" s="43" t="str">
        <x:f>IF(C414="","",YEAR(C414))</x:f>
      </x:c>
      <x:c r="E414" s="43" t="str">
        <x:f>IF(C414="","",MONTH(C414))</x:f>
      </x:c>
      <x:c r="F414" s="43" t="str">
        <x:f>IF(C414="","",WEEKNUM(C414,21))</x:f>
      </x:c>
      <x:c r="G414" s="43" t="str">
        <x:f>IF(C414="","",CHOOSE(WEEKDAY(C414,2),"Lundi","Mardi","Mercredi","Jeudi","Vendredi","Samedi","Dimanche"))</x:f>
      </x:c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  <x:c r="AA414" s="43"/>
      <x:c r="AB414" s="43"/>
      <x:c r="AC414" s="43"/>
      <x:c r="AD414" s="43"/>
      <x:c r="AE414" s="43"/>
      <x:c r="AF414" s="43"/>
      <x:c r="AG414" s="67"/>
      <x:c r="AH414" s="43"/>
      <x:c r="AI414" s="43"/>
    </x:row>
    <x:row r="415">
      <x:c r="A415" s="43"/>
      <x:c r="B415" s="43"/>
      <x:c r="C415" s="43"/>
      <x:c r="D415" s="43" t="str">
        <x:f>IF(C415="","",YEAR(C415))</x:f>
      </x:c>
      <x:c r="E415" s="43" t="str">
        <x:f>IF(C415="","",MONTH(C415))</x:f>
      </x:c>
      <x:c r="F415" s="43" t="str">
        <x:f>IF(C415="","",WEEKNUM(C415,21))</x:f>
      </x:c>
      <x:c r="G415" s="43" t="str">
        <x:f>IF(C415="","",CHOOSE(WEEKDAY(C415,2),"Lundi","Mardi","Mercredi","Jeudi","Vendredi","Samedi","Dimanche"))</x:f>
      </x:c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  <x:c r="AA415" s="43"/>
      <x:c r="AB415" s="43"/>
      <x:c r="AC415" s="43"/>
      <x:c r="AD415" s="43"/>
      <x:c r="AE415" s="43"/>
      <x:c r="AF415" s="43"/>
      <x:c r="AG415" s="67"/>
      <x:c r="AH415" s="43"/>
      <x:c r="AI415" s="43"/>
    </x:row>
    <x:row r="416">
      <x:c r="A416" s="43"/>
      <x:c r="B416" s="43"/>
      <x:c r="C416" s="43"/>
      <x:c r="D416" s="43" t="str">
        <x:f>IF(C416="","",YEAR(C416))</x:f>
      </x:c>
      <x:c r="E416" s="43" t="str">
        <x:f>IF(C416="","",MONTH(C416))</x:f>
      </x:c>
      <x:c r="F416" s="43" t="str">
        <x:f>IF(C416="","",WEEKNUM(C416,21))</x:f>
      </x:c>
      <x:c r="G416" s="43" t="str">
        <x:f>IF(C416="","",CHOOSE(WEEKDAY(C416,2),"Lundi","Mardi","Mercredi","Jeudi","Vendredi","Samedi","Dimanche"))</x:f>
      </x:c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  <x:c r="AA416" s="43"/>
      <x:c r="AB416" s="43"/>
      <x:c r="AC416" s="43"/>
      <x:c r="AD416" s="43"/>
      <x:c r="AE416" s="43"/>
      <x:c r="AF416" s="43"/>
      <x:c r="AG416" s="67"/>
      <x:c r="AH416" s="43"/>
      <x:c r="AI416" s="43"/>
    </x:row>
    <x:row r="417">
      <x:c r="A417" s="43"/>
      <x:c r="B417" s="43"/>
      <x:c r="C417" s="43"/>
      <x:c r="D417" s="43" t="str">
        <x:f>IF(C417="","",YEAR(C417))</x:f>
      </x:c>
      <x:c r="E417" s="43" t="str">
        <x:f>IF(C417="","",MONTH(C417))</x:f>
      </x:c>
      <x:c r="F417" s="43" t="str">
        <x:f>IF(C417="","",WEEKNUM(C417,21))</x:f>
      </x:c>
      <x:c r="G417" s="43" t="str">
        <x:f>IF(C417="","",CHOOSE(WEEKDAY(C417,2),"Lundi","Mardi","Mercredi","Jeudi","Vendredi","Samedi","Dimanche"))</x:f>
      </x:c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  <x:c r="AA417" s="43"/>
      <x:c r="AB417" s="43"/>
      <x:c r="AC417" s="43"/>
      <x:c r="AD417" s="43"/>
      <x:c r="AE417" s="43"/>
      <x:c r="AF417" s="43"/>
      <x:c r="AG417" s="67"/>
      <x:c r="AH417" s="43"/>
      <x:c r="AI417" s="43"/>
    </x:row>
    <x:row r="418">
      <x:c r="A418" s="43"/>
      <x:c r="B418" s="43"/>
      <x:c r="C418" s="43"/>
      <x:c r="D418" s="43" t="str">
        <x:f>IF(C418="","",YEAR(C418))</x:f>
      </x:c>
      <x:c r="E418" s="43" t="str">
        <x:f>IF(C418="","",MONTH(C418))</x:f>
      </x:c>
      <x:c r="F418" s="43" t="str">
        <x:f>IF(C418="","",WEEKNUM(C418,21))</x:f>
      </x:c>
      <x:c r="G418" s="43" t="str">
        <x:f>IF(C418="","",CHOOSE(WEEKDAY(C418,2),"Lundi","Mardi","Mercredi","Jeudi","Vendredi","Samedi","Dimanche"))</x:f>
      </x:c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  <x:c r="AA418" s="43"/>
      <x:c r="AB418" s="43"/>
      <x:c r="AC418" s="43"/>
      <x:c r="AD418" s="43"/>
      <x:c r="AE418" s="43"/>
      <x:c r="AF418" s="43"/>
      <x:c r="AG418" s="67"/>
      <x:c r="AH418" s="43"/>
      <x:c r="AI418" s="43"/>
    </x:row>
    <x:row r="419">
      <x:c r="A419" s="43"/>
      <x:c r="B419" s="43"/>
      <x:c r="C419" s="43"/>
      <x:c r="D419" s="43" t="str">
        <x:f>IF(C419="","",YEAR(C419))</x:f>
      </x:c>
      <x:c r="E419" s="43" t="str">
        <x:f>IF(C419="","",MONTH(C419))</x:f>
      </x:c>
      <x:c r="F419" s="43" t="str">
        <x:f>IF(C419="","",WEEKNUM(C419,21))</x:f>
      </x:c>
      <x:c r="G419" s="43" t="str">
        <x:f>IF(C419="","",CHOOSE(WEEKDAY(C419,2),"Lundi","Mardi","Mercredi","Jeudi","Vendredi","Samedi","Dimanche"))</x:f>
      </x:c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  <x:c r="AA419" s="43"/>
      <x:c r="AB419" s="43"/>
      <x:c r="AC419" s="43"/>
      <x:c r="AD419" s="43"/>
      <x:c r="AE419" s="43"/>
      <x:c r="AF419" s="43"/>
      <x:c r="AG419" s="67"/>
      <x:c r="AH419" s="43"/>
      <x:c r="AI419" s="43"/>
    </x:row>
    <x:row r="420">
      <x:c r="A420" s="43"/>
      <x:c r="B420" s="43"/>
      <x:c r="C420" s="43"/>
      <x:c r="D420" s="43" t="str">
        <x:f>IF(C420="","",YEAR(C420))</x:f>
      </x:c>
      <x:c r="E420" s="43" t="str">
        <x:f>IF(C420="","",MONTH(C420))</x:f>
      </x:c>
      <x:c r="F420" s="43" t="str">
        <x:f>IF(C420="","",WEEKNUM(C420,21))</x:f>
      </x:c>
      <x:c r="G420" s="43" t="str">
        <x:f>IF(C420="","",CHOOSE(WEEKDAY(C420,2),"Lundi","Mardi","Mercredi","Jeudi","Vendredi","Samedi","Dimanche"))</x:f>
      </x:c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  <x:c r="AA420" s="43"/>
      <x:c r="AB420" s="43"/>
      <x:c r="AC420" s="43"/>
      <x:c r="AD420" s="43"/>
      <x:c r="AE420" s="43"/>
      <x:c r="AF420" s="43"/>
      <x:c r="AG420" s="67"/>
      <x:c r="AH420" s="43"/>
      <x:c r="AI420" s="43"/>
    </x:row>
    <x:row r="421">
      <x:c r="A421" s="43"/>
      <x:c r="B421" s="43"/>
      <x:c r="C421" s="43"/>
      <x:c r="D421" s="43" t="str">
        <x:f>IF(C421="","",YEAR(C421))</x:f>
      </x:c>
      <x:c r="E421" s="43" t="str">
        <x:f>IF(C421="","",MONTH(C421))</x:f>
      </x:c>
      <x:c r="F421" s="43" t="str">
        <x:f>IF(C421="","",WEEKNUM(C421,21))</x:f>
      </x:c>
      <x:c r="G421" s="43" t="str">
        <x:f>IF(C421="","",CHOOSE(WEEKDAY(C421,2),"Lundi","Mardi","Mercredi","Jeudi","Vendredi","Samedi","Dimanche"))</x:f>
      </x:c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  <x:c r="AA421" s="43"/>
      <x:c r="AB421" s="43"/>
      <x:c r="AC421" s="43"/>
      <x:c r="AD421" s="43"/>
      <x:c r="AE421" s="43"/>
      <x:c r="AF421" s="43"/>
      <x:c r="AG421" s="67"/>
      <x:c r="AH421" s="43"/>
      <x:c r="AI421" s="43"/>
    </x:row>
    <x:row r="422">
      <x:c r="A422" s="43"/>
      <x:c r="B422" s="43"/>
      <x:c r="C422" s="43"/>
      <x:c r="D422" s="43" t="str">
        <x:f>IF(C422="","",YEAR(C422))</x:f>
      </x:c>
      <x:c r="E422" s="43" t="str">
        <x:f>IF(C422="","",MONTH(C422))</x:f>
      </x:c>
      <x:c r="F422" s="43" t="str">
        <x:f>IF(C422="","",WEEKNUM(C422,21))</x:f>
      </x:c>
      <x:c r="G422" s="43" t="str">
        <x:f>IF(C422="","",CHOOSE(WEEKDAY(C422,2),"Lundi","Mardi","Mercredi","Jeudi","Vendredi","Samedi","Dimanche"))</x:f>
      </x:c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  <x:c r="AA422" s="43"/>
      <x:c r="AB422" s="43"/>
      <x:c r="AC422" s="43"/>
      <x:c r="AD422" s="43"/>
      <x:c r="AE422" s="43"/>
      <x:c r="AF422" s="43"/>
      <x:c r="AG422" s="67"/>
      <x:c r="AH422" s="43"/>
      <x:c r="AI422" s="43"/>
    </x:row>
    <x:row r="423">
      <x:c r="A423" s="43"/>
      <x:c r="B423" s="43"/>
      <x:c r="C423" s="43"/>
      <x:c r="D423" s="43" t="str">
        <x:f>IF(C423="","",YEAR(C423))</x:f>
      </x:c>
      <x:c r="E423" s="43" t="str">
        <x:f>IF(C423="","",MONTH(C423))</x:f>
      </x:c>
      <x:c r="F423" s="43" t="str">
        <x:f>IF(C423="","",WEEKNUM(C423,21))</x:f>
      </x:c>
      <x:c r="G423" s="43" t="str">
        <x:f>IF(C423="","",CHOOSE(WEEKDAY(C423,2),"Lundi","Mardi","Mercredi","Jeudi","Vendredi","Samedi","Dimanche"))</x:f>
      </x:c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  <x:c r="AA423" s="43"/>
      <x:c r="AB423" s="43"/>
      <x:c r="AC423" s="43"/>
      <x:c r="AD423" s="43"/>
      <x:c r="AE423" s="43"/>
      <x:c r="AF423" s="43"/>
      <x:c r="AG423" s="67"/>
      <x:c r="AH423" s="43"/>
      <x:c r="AI423" s="43"/>
    </x:row>
    <x:row r="424">
      <x:c r="A424" s="43"/>
      <x:c r="B424" s="43"/>
      <x:c r="C424" s="43"/>
      <x:c r="D424" s="43" t="str">
        <x:f>IF(C424="","",YEAR(C424))</x:f>
      </x:c>
      <x:c r="E424" s="43" t="str">
        <x:f>IF(C424="","",MONTH(C424))</x:f>
      </x:c>
      <x:c r="F424" s="43" t="str">
        <x:f>IF(C424="","",WEEKNUM(C424,21))</x:f>
      </x:c>
      <x:c r="G424" s="43" t="str">
        <x:f>IF(C424="","",CHOOSE(WEEKDAY(C424,2),"Lundi","Mardi","Mercredi","Jeudi","Vendredi","Samedi","Dimanche"))</x:f>
      </x:c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  <x:c r="AA424" s="43"/>
      <x:c r="AB424" s="43"/>
      <x:c r="AC424" s="43"/>
      <x:c r="AD424" s="43"/>
      <x:c r="AE424" s="43"/>
      <x:c r="AF424" s="43"/>
      <x:c r="AG424" s="67"/>
      <x:c r="AH424" s="43"/>
      <x:c r="AI424" s="43"/>
    </x:row>
    <x:row r="425">
      <x:c r="A425" s="43"/>
      <x:c r="B425" s="43"/>
      <x:c r="C425" s="43"/>
      <x:c r="D425" s="43" t="str">
        <x:f>IF(C425="","",YEAR(C425))</x:f>
      </x:c>
      <x:c r="E425" s="43" t="str">
        <x:f>IF(C425="","",MONTH(C425))</x:f>
      </x:c>
      <x:c r="F425" s="43" t="str">
        <x:f>IF(C425="","",WEEKNUM(C425,21))</x:f>
      </x:c>
      <x:c r="G425" s="43" t="str">
        <x:f>IF(C425="","",CHOOSE(WEEKDAY(C425,2),"Lundi","Mardi","Mercredi","Jeudi","Vendredi","Samedi","Dimanche"))</x:f>
      </x:c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  <x:c r="AA425" s="43"/>
      <x:c r="AB425" s="43"/>
      <x:c r="AC425" s="43"/>
      <x:c r="AD425" s="43"/>
      <x:c r="AE425" s="43"/>
      <x:c r="AF425" s="43"/>
      <x:c r="AG425" s="67"/>
      <x:c r="AH425" s="43"/>
      <x:c r="AI425" s="43"/>
    </x:row>
    <x:row r="426">
      <x:c r="A426" s="43"/>
      <x:c r="B426" s="43"/>
      <x:c r="C426" s="43"/>
      <x:c r="D426" s="43" t="str">
        <x:f>IF(C426="","",YEAR(C426))</x:f>
      </x:c>
      <x:c r="E426" s="43" t="str">
        <x:f>IF(C426="","",MONTH(C426))</x:f>
      </x:c>
      <x:c r="F426" s="43" t="str">
        <x:f>IF(C426="","",WEEKNUM(C426,21))</x:f>
      </x:c>
      <x:c r="G426" s="43" t="str">
        <x:f>IF(C426="","",CHOOSE(WEEKDAY(C426,2),"Lundi","Mardi","Mercredi","Jeudi","Vendredi","Samedi","Dimanche"))</x:f>
      </x:c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  <x:c r="AA426" s="43"/>
      <x:c r="AB426" s="43"/>
      <x:c r="AC426" s="43"/>
      <x:c r="AD426" s="43"/>
      <x:c r="AE426" s="43"/>
      <x:c r="AF426" s="43"/>
      <x:c r="AG426" s="67"/>
      <x:c r="AH426" s="43"/>
      <x:c r="AI426" s="43"/>
    </x:row>
    <x:row r="427">
      <x:c r="A427" s="43"/>
      <x:c r="B427" s="43"/>
      <x:c r="C427" s="43"/>
      <x:c r="D427" s="43" t="str">
        <x:f>IF(C427="","",YEAR(C427))</x:f>
      </x:c>
      <x:c r="E427" s="43" t="str">
        <x:f>IF(C427="","",MONTH(C427))</x:f>
      </x:c>
      <x:c r="F427" s="43" t="str">
        <x:f>IF(C427="","",WEEKNUM(C427,21))</x:f>
      </x:c>
      <x:c r="G427" s="43" t="str">
        <x:f>IF(C427="","",CHOOSE(WEEKDAY(C427,2),"Lundi","Mardi","Mercredi","Jeudi","Vendredi","Samedi","Dimanche"))</x:f>
      </x:c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  <x:c r="AA427" s="43"/>
      <x:c r="AB427" s="43"/>
      <x:c r="AC427" s="43"/>
      <x:c r="AD427" s="43"/>
      <x:c r="AE427" s="43"/>
      <x:c r="AF427" s="43"/>
      <x:c r="AG427" s="67"/>
      <x:c r="AH427" s="43"/>
      <x:c r="AI427" s="43"/>
    </x:row>
    <x:row r="428">
      <x:c r="A428" s="43"/>
      <x:c r="B428" s="43"/>
      <x:c r="C428" s="43"/>
      <x:c r="D428" s="43" t="str">
        <x:f>IF(C428="","",YEAR(C428))</x:f>
      </x:c>
      <x:c r="E428" s="43" t="str">
        <x:f>IF(C428="","",MONTH(C428))</x:f>
      </x:c>
      <x:c r="F428" s="43" t="str">
        <x:f>IF(C428="","",WEEKNUM(C428,21))</x:f>
      </x:c>
      <x:c r="G428" s="43" t="str">
        <x:f>IF(C428="","",CHOOSE(WEEKDAY(C428,2),"Lundi","Mardi","Mercredi","Jeudi","Vendredi","Samedi","Dimanche"))</x:f>
      </x:c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  <x:c r="AA428" s="43"/>
      <x:c r="AB428" s="43"/>
      <x:c r="AC428" s="43"/>
      <x:c r="AD428" s="43"/>
      <x:c r="AE428" s="43"/>
      <x:c r="AF428" s="43"/>
      <x:c r="AG428" s="67"/>
      <x:c r="AH428" s="43"/>
      <x:c r="AI428" s="43"/>
    </x:row>
    <x:row r="429">
      <x:c r="A429" s="43"/>
      <x:c r="B429" s="43"/>
      <x:c r="C429" s="43"/>
      <x:c r="D429" s="43" t="str">
        <x:f>IF(C429="","",YEAR(C429))</x:f>
      </x:c>
      <x:c r="E429" s="43" t="str">
        <x:f>IF(C429="","",MONTH(C429))</x:f>
      </x:c>
      <x:c r="F429" s="43" t="str">
        <x:f>IF(C429="","",WEEKNUM(C429,21))</x:f>
      </x:c>
      <x:c r="G429" s="43" t="str">
        <x:f>IF(C429="","",CHOOSE(WEEKDAY(C429,2),"Lundi","Mardi","Mercredi","Jeudi","Vendredi","Samedi","Dimanche"))</x:f>
      </x:c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  <x:c r="AA429" s="43"/>
      <x:c r="AB429" s="43"/>
      <x:c r="AC429" s="43"/>
      <x:c r="AD429" s="43"/>
      <x:c r="AE429" s="43"/>
      <x:c r="AF429" s="43"/>
      <x:c r="AG429" s="67"/>
      <x:c r="AH429" s="43"/>
      <x:c r="AI429" s="43"/>
    </x:row>
    <x:row r="430">
      <x:c r="A430" s="43"/>
      <x:c r="B430" s="43"/>
      <x:c r="C430" s="43"/>
      <x:c r="D430" s="43" t="str">
        <x:f>IF(C430="","",YEAR(C430))</x:f>
      </x:c>
      <x:c r="E430" s="43" t="str">
        <x:f>IF(C430="","",MONTH(C430))</x:f>
      </x:c>
      <x:c r="F430" s="43" t="str">
        <x:f>IF(C430="","",WEEKNUM(C430,21))</x:f>
      </x:c>
      <x:c r="G430" s="43" t="str">
        <x:f>IF(C430="","",CHOOSE(WEEKDAY(C430,2),"Lundi","Mardi","Mercredi","Jeudi","Vendredi","Samedi","Dimanche"))</x:f>
      </x:c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  <x:c r="AA430" s="43"/>
      <x:c r="AB430" s="43"/>
      <x:c r="AC430" s="43"/>
      <x:c r="AD430" s="43"/>
      <x:c r="AE430" s="43"/>
      <x:c r="AF430" s="43"/>
      <x:c r="AG430" s="67"/>
      <x:c r="AH430" s="43"/>
      <x:c r="AI430" s="43"/>
    </x:row>
    <x:row r="431">
      <x:c r="A431" s="43"/>
      <x:c r="B431" s="43"/>
      <x:c r="C431" s="43"/>
      <x:c r="D431" s="43" t="str">
        <x:f>IF(C431="","",YEAR(C431))</x:f>
      </x:c>
      <x:c r="E431" s="43" t="str">
        <x:f>IF(C431="","",MONTH(C431))</x:f>
      </x:c>
      <x:c r="F431" s="43" t="str">
        <x:f>IF(C431="","",WEEKNUM(C431,21))</x:f>
      </x:c>
      <x:c r="G431" s="43" t="str">
        <x:f>IF(C431="","",CHOOSE(WEEKDAY(C431,2),"Lundi","Mardi","Mercredi","Jeudi","Vendredi","Samedi","Dimanche"))</x:f>
      </x:c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  <x:c r="AA431" s="43"/>
      <x:c r="AB431" s="43"/>
      <x:c r="AC431" s="43"/>
      <x:c r="AD431" s="43"/>
      <x:c r="AE431" s="43"/>
      <x:c r="AF431" s="43"/>
      <x:c r="AG431" s="67"/>
      <x:c r="AH431" s="43"/>
      <x:c r="AI431" s="43"/>
    </x:row>
    <x:row r="432">
      <x:c r="A432" s="43"/>
      <x:c r="B432" s="43"/>
      <x:c r="C432" s="43"/>
      <x:c r="D432" s="43" t="str">
        <x:f>IF(C432="","",YEAR(C432))</x:f>
      </x:c>
      <x:c r="E432" s="43" t="str">
        <x:f>IF(C432="","",MONTH(C432))</x:f>
      </x:c>
      <x:c r="F432" s="43" t="str">
        <x:f>IF(C432="","",WEEKNUM(C432,21))</x:f>
      </x:c>
      <x:c r="G432" s="43" t="str">
        <x:f>IF(C432="","",CHOOSE(WEEKDAY(C432,2),"Lundi","Mardi","Mercredi","Jeudi","Vendredi","Samedi","Dimanche"))</x:f>
      </x:c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  <x:c r="AA432" s="43"/>
      <x:c r="AB432" s="43"/>
      <x:c r="AC432" s="43"/>
      <x:c r="AD432" s="43"/>
      <x:c r="AE432" s="43"/>
      <x:c r="AF432" s="43"/>
      <x:c r="AG432" s="67"/>
      <x:c r="AH432" s="43"/>
      <x:c r="AI432" s="43"/>
    </x:row>
    <x:row r="433">
      <x:c r="A433" s="43"/>
      <x:c r="B433" s="43"/>
      <x:c r="C433" s="43"/>
      <x:c r="D433" s="43" t="str">
        <x:f>IF(C433="","",YEAR(C433))</x:f>
      </x:c>
      <x:c r="E433" s="43" t="str">
        <x:f>IF(C433="","",MONTH(C433))</x:f>
      </x:c>
      <x:c r="F433" s="43" t="str">
        <x:f>IF(C433="","",WEEKNUM(C433,21))</x:f>
      </x:c>
      <x:c r="G433" s="43" t="str">
        <x:f>IF(C433="","",CHOOSE(WEEKDAY(C433,2),"Lundi","Mardi","Mercredi","Jeudi","Vendredi","Samedi","Dimanche"))</x:f>
      </x:c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  <x:c r="AA433" s="43"/>
      <x:c r="AB433" s="43"/>
      <x:c r="AC433" s="43"/>
      <x:c r="AD433" s="43"/>
      <x:c r="AE433" s="43"/>
      <x:c r="AF433" s="43"/>
      <x:c r="AG433" s="67"/>
      <x:c r="AH433" s="43"/>
      <x:c r="AI433" s="43"/>
    </x:row>
    <x:row r="434">
      <x:c r="A434" s="43"/>
      <x:c r="B434" s="43"/>
      <x:c r="C434" s="43"/>
      <x:c r="D434" s="43" t="str">
        <x:f>IF(C434="","",YEAR(C434))</x:f>
      </x:c>
      <x:c r="E434" s="43" t="str">
        <x:f>IF(C434="","",MONTH(C434))</x:f>
      </x:c>
      <x:c r="F434" s="43" t="str">
        <x:f>IF(C434="","",WEEKNUM(C434,21))</x:f>
      </x:c>
      <x:c r="G434" s="43" t="str">
        <x:f>IF(C434="","",CHOOSE(WEEKDAY(C434,2),"Lundi","Mardi","Mercredi","Jeudi","Vendredi","Samedi","Dimanche"))</x:f>
      </x:c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  <x:c r="AA434" s="43"/>
      <x:c r="AB434" s="43"/>
      <x:c r="AC434" s="43"/>
      <x:c r="AD434" s="43"/>
      <x:c r="AE434" s="43"/>
      <x:c r="AF434" s="43"/>
      <x:c r="AG434" s="67"/>
      <x:c r="AH434" s="43"/>
      <x:c r="AI434" s="43"/>
    </x:row>
    <x:row r="435">
      <x:c r="A435" s="43"/>
      <x:c r="B435" s="43"/>
      <x:c r="C435" s="43"/>
      <x:c r="D435" s="43" t="str">
        <x:f>IF(C435="","",YEAR(C435))</x:f>
      </x:c>
      <x:c r="E435" s="43" t="str">
        <x:f>IF(C435="","",MONTH(C435))</x:f>
      </x:c>
      <x:c r="F435" s="43" t="str">
        <x:f>IF(C435="","",WEEKNUM(C435,21))</x:f>
      </x:c>
      <x:c r="G435" s="43" t="str">
        <x:f>IF(C435="","",CHOOSE(WEEKDAY(C435,2),"Lundi","Mardi","Mercredi","Jeudi","Vendredi","Samedi","Dimanche"))</x:f>
      </x:c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  <x:c r="AA435" s="43"/>
      <x:c r="AB435" s="43"/>
      <x:c r="AC435" s="43"/>
      <x:c r="AD435" s="43"/>
      <x:c r="AE435" s="43"/>
      <x:c r="AF435" s="43"/>
      <x:c r="AG435" s="67"/>
      <x:c r="AH435" s="43"/>
      <x:c r="AI435" s="43"/>
    </x:row>
    <x:row r="436">
      <x:c r="A436" s="43"/>
      <x:c r="B436" s="43"/>
      <x:c r="C436" s="43"/>
      <x:c r="D436" s="43" t="str">
        <x:f>IF(C436="","",YEAR(C436))</x:f>
      </x:c>
      <x:c r="E436" s="43" t="str">
        <x:f>IF(C436="","",MONTH(C436))</x:f>
      </x:c>
      <x:c r="F436" s="43" t="str">
        <x:f>IF(C436="","",WEEKNUM(C436,21))</x:f>
      </x:c>
      <x:c r="G436" s="43" t="str">
        <x:f>IF(C436="","",CHOOSE(WEEKDAY(C436,2),"Lundi","Mardi","Mercredi","Jeudi","Vendredi","Samedi","Dimanche"))</x:f>
      </x:c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  <x:c r="AA436" s="43"/>
      <x:c r="AB436" s="43"/>
      <x:c r="AC436" s="43"/>
      <x:c r="AD436" s="43"/>
      <x:c r="AE436" s="43"/>
      <x:c r="AF436" s="43"/>
      <x:c r="AG436" s="67"/>
      <x:c r="AH436" s="43"/>
      <x:c r="AI436" s="43"/>
    </x:row>
    <x:row r="437">
      <x:c r="A437" s="43"/>
      <x:c r="B437" s="43"/>
      <x:c r="C437" s="43"/>
      <x:c r="D437" s="43" t="str">
        <x:f>IF(C437="","",YEAR(C437))</x:f>
      </x:c>
      <x:c r="E437" s="43" t="str">
        <x:f>IF(C437="","",MONTH(C437))</x:f>
      </x:c>
      <x:c r="F437" s="43" t="str">
        <x:f>IF(C437="","",WEEKNUM(C437,21))</x:f>
      </x:c>
      <x:c r="G437" s="43" t="str">
        <x:f>IF(C437="","",CHOOSE(WEEKDAY(C437,2),"Lundi","Mardi","Mercredi","Jeudi","Vendredi","Samedi","Dimanche"))</x:f>
      </x:c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  <x:c r="AA437" s="43"/>
      <x:c r="AB437" s="43"/>
      <x:c r="AC437" s="43"/>
      <x:c r="AD437" s="43"/>
      <x:c r="AE437" s="43"/>
      <x:c r="AF437" s="43"/>
      <x:c r="AG437" s="67"/>
      <x:c r="AH437" s="43"/>
      <x:c r="AI437" s="43"/>
    </x:row>
    <x:row r="438">
      <x:c r="A438" s="43"/>
      <x:c r="B438" s="43"/>
      <x:c r="C438" s="43"/>
      <x:c r="D438" s="43" t="str">
        <x:f>IF(C438="","",YEAR(C438))</x:f>
      </x:c>
      <x:c r="E438" s="43" t="str">
        <x:f>IF(C438="","",MONTH(C438))</x:f>
      </x:c>
      <x:c r="F438" s="43" t="str">
        <x:f>IF(C438="","",WEEKNUM(C438,21))</x:f>
      </x:c>
      <x:c r="G438" s="43" t="str">
        <x:f>IF(C438="","",CHOOSE(WEEKDAY(C438,2),"Lundi","Mardi","Mercredi","Jeudi","Vendredi","Samedi","Dimanche"))</x:f>
      </x:c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  <x:c r="AA438" s="43"/>
      <x:c r="AB438" s="43"/>
      <x:c r="AC438" s="43"/>
      <x:c r="AD438" s="43"/>
      <x:c r="AE438" s="43"/>
      <x:c r="AF438" s="43"/>
      <x:c r="AG438" s="67"/>
      <x:c r="AH438" s="43"/>
      <x:c r="AI438" s="43"/>
    </x:row>
    <x:row r="439">
      <x:c r="A439" s="43"/>
      <x:c r="B439" s="43"/>
      <x:c r="C439" s="43"/>
      <x:c r="D439" s="43" t="str">
        <x:f>IF(C439="","",YEAR(C439))</x:f>
      </x:c>
      <x:c r="E439" s="43" t="str">
        <x:f>IF(C439="","",MONTH(C439))</x:f>
      </x:c>
      <x:c r="F439" s="43" t="str">
        <x:f>IF(C439="","",WEEKNUM(C439,21))</x:f>
      </x:c>
      <x:c r="G439" s="43" t="str">
        <x:f>IF(C439="","",CHOOSE(WEEKDAY(C439,2),"Lundi","Mardi","Mercredi","Jeudi","Vendredi","Samedi","Dimanche"))</x:f>
      </x:c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  <x:c r="AA439" s="43"/>
      <x:c r="AB439" s="43"/>
      <x:c r="AC439" s="43"/>
      <x:c r="AD439" s="43"/>
      <x:c r="AE439" s="43"/>
      <x:c r="AF439" s="43"/>
      <x:c r="AG439" s="67"/>
      <x:c r="AH439" s="43"/>
      <x:c r="AI439" s="43"/>
    </x:row>
    <x:row r="440">
      <x:c r="A440" s="43"/>
      <x:c r="B440" s="43"/>
      <x:c r="C440" s="43"/>
      <x:c r="D440" s="43" t="str">
        <x:f>IF(C440="","",YEAR(C440))</x:f>
      </x:c>
      <x:c r="E440" s="43" t="str">
        <x:f>IF(C440="","",MONTH(C440))</x:f>
      </x:c>
      <x:c r="F440" s="43" t="str">
        <x:f>IF(C440="","",WEEKNUM(C440,21))</x:f>
      </x:c>
      <x:c r="G440" s="43" t="str">
        <x:f>IF(C440="","",CHOOSE(WEEKDAY(C440,2),"Lundi","Mardi","Mercredi","Jeudi","Vendredi","Samedi","Dimanche"))</x:f>
      </x:c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  <x:c r="AA440" s="43"/>
      <x:c r="AB440" s="43"/>
      <x:c r="AC440" s="43"/>
      <x:c r="AD440" s="43"/>
      <x:c r="AE440" s="43"/>
      <x:c r="AF440" s="43"/>
      <x:c r="AG440" s="67"/>
      <x:c r="AH440" s="43"/>
      <x:c r="AI440" s="43"/>
    </x:row>
    <x:row r="441">
      <x:c r="A441" s="43"/>
      <x:c r="B441" s="43"/>
      <x:c r="C441" s="43"/>
      <x:c r="D441" s="43" t="str">
        <x:f>IF(C441="","",YEAR(C441))</x:f>
      </x:c>
      <x:c r="E441" s="43" t="str">
        <x:f>IF(C441="","",MONTH(C441))</x:f>
      </x:c>
      <x:c r="F441" s="43" t="str">
        <x:f>IF(C441="","",WEEKNUM(C441,21))</x:f>
      </x:c>
      <x:c r="G441" s="43" t="str">
        <x:f>IF(C441="","",CHOOSE(WEEKDAY(C441,2),"Lundi","Mardi","Mercredi","Jeudi","Vendredi","Samedi","Dimanche"))</x:f>
      </x:c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  <x:c r="AA441" s="43"/>
      <x:c r="AB441" s="43"/>
      <x:c r="AC441" s="43"/>
      <x:c r="AD441" s="43"/>
      <x:c r="AE441" s="43"/>
      <x:c r="AF441" s="43"/>
      <x:c r="AG441" s="67"/>
      <x:c r="AH441" s="43"/>
      <x:c r="AI441" s="43"/>
    </x:row>
    <x:row r="442">
      <x:c r="A442" s="43"/>
      <x:c r="B442" s="43"/>
      <x:c r="C442" s="43"/>
      <x:c r="D442" s="43" t="str">
        <x:f>IF(C442="","",YEAR(C442))</x:f>
      </x:c>
      <x:c r="E442" s="43" t="str">
        <x:f>IF(C442="","",MONTH(C442))</x:f>
      </x:c>
      <x:c r="F442" s="43" t="str">
        <x:f>IF(C442="","",WEEKNUM(C442,21))</x:f>
      </x:c>
      <x:c r="G442" s="43" t="str">
        <x:f>IF(C442="","",CHOOSE(WEEKDAY(C442,2),"Lundi","Mardi","Mercredi","Jeudi","Vendredi","Samedi","Dimanche"))</x:f>
      </x:c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  <x:c r="AA442" s="43"/>
      <x:c r="AB442" s="43"/>
      <x:c r="AC442" s="43"/>
      <x:c r="AD442" s="43"/>
      <x:c r="AE442" s="43"/>
      <x:c r="AF442" s="43"/>
      <x:c r="AG442" s="67"/>
      <x:c r="AH442" s="43"/>
      <x:c r="AI442" s="43"/>
    </x:row>
    <x:row r="443">
      <x:c r="A443" s="43"/>
      <x:c r="B443" s="43"/>
      <x:c r="C443" s="43"/>
      <x:c r="D443" s="43" t="str">
        <x:f>IF(C443="","",YEAR(C443))</x:f>
      </x:c>
      <x:c r="E443" s="43" t="str">
        <x:f>IF(C443="","",MONTH(C443))</x:f>
      </x:c>
      <x:c r="F443" s="43" t="str">
        <x:f>IF(C443="","",WEEKNUM(C443,21))</x:f>
      </x:c>
      <x:c r="G443" s="43" t="str">
        <x:f>IF(C443="","",CHOOSE(WEEKDAY(C443,2),"Lundi","Mardi","Mercredi","Jeudi","Vendredi","Samedi","Dimanche"))</x:f>
      </x:c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  <x:c r="AA443" s="43"/>
      <x:c r="AB443" s="43"/>
      <x:c r="AC443" s="43"/>
      <x:c r="AD443" s="43"/>
      <x:c r="AE443" s="43"/>
      <x:c r="AF443" s="43"/>
      <x:c r="AG443" s="67"/>
      <x:c r="AH443" s="43"/>
      <x:c r="AI443" s="43"/>
    </x:row>
    <x:row r="444">
      <x:c r="A444" s="43"/>
      <x:c r="B444" s="43"/>
      <x:c r="C444" s="43"/>
      <x:c r="D444" s="43" t="str">
        <x:f>IF(C444="","",YEAR(C444))</x:f>
      </x:c>
      <x:c r="E444" s="43" t="str">
        <x:f>IF(C444="","",MONTH(C444))</x:f>
      </x:c>
      <x:c r="F444" s="43" t="str">
        <x:f>IF(C444="","",WEEKNUM(C444,21))</x:f>
      </x:c>
      <x:c r="G444" s="43" t="str">
        <x:f>IF(C444="","",CHOOSE(WEEKDAY(C444,2),"Lundi","Mardi","Mercredi","Jeudi","Vendredi","Samedi","Dimanche"))</x:f>
      </x:c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  <x:c r="AA444" s="43"/>
      <x:c r="AB444" s="43"/>
      <x:c r="AC444" s="43"/>
      <x:c r="AD444" s="43"/>
      <x:c r="AE444" s="43"/>
      <x:c r="AF444" s="43"/>
      <x:c r="AG444" s="67"/>
      <x:c r="AH444" s="43"/>
      <x:c r="AI444" s="43"/>
    </x:row>
    <x:row r="445">
      <x:c r="A445" s="43"/>
      <x:c r="B445" s="43"/>
      <x:c r="C445" s="43"/>
      <x:c r="D445" s="43" t="str">
        <x:f>IF(C445="","",YEAR(C445))</x:f>
      </x:c>
      <x:c r="E445" s="43" t="str">
        <x:f>IF(C445="","",MONTH(C445))</x:f>
      </x:c>
      <x:c r="F445" s="43" t="str">
        <x:f>IF(C445="","",WEEKNUM(C445,21))</x:f>
      </x:c>
      <x:c r="G445" s="43" t="str">
        <x:f>IF(C445="","",CHOOSE(WEEKDAY(C445,2),"Lundi","Mardi","Mercredi","Jeudi","Vendredi","Samedi","Dimanche"))</x:f>
      </x:c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  <x:c r="AA445" s="43"/>
      <x:c r="AB445" s="43"/>
      <x:c r="AC445" s="43"/>
      <x:c r="AD445" s="43"/>
      <x:c r="AE445" s="43"/>
      <x:c r="AF445" s="43"/>
      <x:c r="AG445" s="67"/>
      <x:c r="AH445" s="43"/>
      <x:c r="AI445" s="43"/>
    </x:row>
    <x:row r="446">
      <x:c r="A446" s="43"/>
      <x:c r="B446" s="43"/>
      <x:c r="C446" s="43"/>
      <x:c r="D446" s="43" t="str">
        <x:f>IF(C446="","",YEAR(C446))</x:f>
      </x:c>
      <x:c r="E446" s="43" t="str">
        <x:f>IF(C446="","",MONTH(C446))</x:f>
      </x:c>
      <x:c r="F446" s="43" t="str">
        <x:f>IF(C446="","",WEEKNUM(C446,21))</x:f>
      </x:c>
      <x:c r="G446" s="43" t="str">
        <x:f>IF(C446="","",CHOOSE(WEEKDAY(C446,2),"Lundi","Mardi","Mercredi","Jeudi","Vendredi","Samedi","Dimanche"))</x:f>
      </x:c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  <x:c r="AA446" s="43"/>
      <x:c r="AB446" s="43"/>
      <x:c r="AC446" s="43"/>
      <x:c r="AD446" s="43"/>
      <x:c r="AE446" s="43"/>
      <x:c r="AF446" s="43"/>
      <x:c r="AG446" s="67"/>
      <x:c r="AH446" s="43"/>
      <x:c r="AI446" s="43"/>
    </x:row>
    <x:row r="447">
      <x:c r="A447" s="43"/>
      <x:c r="B447" s="43"/>
      <x:c r="C447" s="43"/>
      <x:c r="D447" s="43" t="str">
        <x:f>IF(C447="","",YEAR(C447))</x:f>
      </x:c>
      <x:c r="E447" s="43" t="str">
        <x:f>IF(C447="","",MONTH(C447))</x:f>
      </x:c>
      <x:c r="F447" s="43" t="str">
        <x:f>IF(C447="","",WEEKNUM(C447,21))</x:f>
      </x:c>
      <x:c r="G447" s="43" t="str">
        <x:f>IF(C447="","",CHOOSE(WEEKDAY(C447,2),"Lundi","Mardi","Mercredi","Jeudi","Vendredi","Samedi","Dimanche"))</x:f>
      </x:c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  <x:c r="AA447" s="43"/>
      <x:c r="AB447" s="43"/>
      <x:c r="AC447" s="43"/>
      <x:c r="AD447" s="43"/>
      <x:c r="AE447" s="43"/>
      <x:c r="AF447" s="43"/>
      <x:c r="AG447" s="67"/>
      <x:c r="AH447" s="43"/>
      <x:c r="AI447" s="43"/>
    </x:row>
    <x:row r="448">
      <x:c r="A448" s="43"/>
      <x:c r="B448" s="43"/>
      <x:c r="C448" s="43"/>
      <x:c r="D448" s="43" t="str">
        <x:f>IF(C448="","",YEAR(C448))</x:f>
      </x:c>
      <x:c r="E448" s="43" t="str">
        <x:f>IF(C448="","",MONTH(C448))</x:f>
      </x:c>
      <x:c r="F448" s="43" t="str">
        <x:f>IF(C448="","",WEEKNUM(C448,21))</x:f>
      </x:c>
      <x:c r="G448" s="43" t="str">
        <x:f>IF(C448="","",CHOOSE(WEEKDAY(C448,2),"Lundi","Mardi","Mercredi","Jeudi","Vendredi","Samedi","Dimanche"))</x:f>
      </x:c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  <x:c r="AA448" s="43"/>
      <x:c r="AB448" s="43"/>
      <x:c r="AC448" s="43"/>
      <x:c r="AD448" s="43"/>
      <x:c r="AE448" s="43"/>
      <x:c r="AF448" s="43"/>
      <x:c r="AG448" s="67"/>
      <x:c r="AH448" s="43"/>
      <x:c r="AI448" s="43"/>
    </x:row>
    <x:row r="449">
      <x:c r="A449" s="43"/>
      <x:c r="B449" s="43"/>
      <x:c r="C449" s="43"/>
      <x:c r="D449" s="43" t="str">
        <x:f>IF(C449="","",YEAR(C449))</x:f>
      </x:c>
      <x:c r="E449" s="43" t="str">
        <x:f>IF(C449="","",MONTH(C449))</x:f>
      </x:c>
      <x:c r="F449" s="43" t="str">
        <x:f>IF(C449="","",WEEKNUM(C449,21))</x:f>
      </x:c>
      <x:c r="G449" s="43" t="str">
        <x:f>IF(C449="","",CHOOSE(WEEKDAY(C449,2),"Lundi","Mardi","Mercredi","Jeudi","Vendredi","Samedi","Dimanche"))</x:f>
      </x:c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  <x:c r="AA449" s="43"/>
      <x:c r="AB449" s="43"/>
      <x:c r="AC449" s="43"/>
      <x:c r="AD449" s="43"/>
      <x:c r="AE449" s="43"/>
      <x:c r="AF449" s="43"/>
      <x:c r="AG449" s="67"/>
      <x:c r="AH449" s="43"/>
      <x:c r="AI449" s="43"/>
    </x:row>
    <x:row r="450">
      <x:c r="A450" s="43"/>
      <x:c r="B450" s="43"/>
      <x:c r="C450" s="43"/>
      <x:c r="D450" s="43" t="str">
        <x:f>IF(C450="","",YEAR(C450))</x:f>
      </x:c>
      <x:c r="E450" s="43" t="str">
        <x:f>IF(C450="","",MONTH(C450))</x:f>
      </x:c>
      <x:c r="F450" s="43" t="str">
        <x:f>IF(C450="","",WEEKNUM(C450,21))</x:f>
      </x:c>
      <x:c r="G450" s="43" t="str">
        <x:f>IF(C450="","",CHOOSE(WEEKDAY(C450,2),"Lundi","Mardi","Mercredi","Jeudi","Vendredi","Samedi","Dimanche"))</x:f>
      </x:c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  <x:c r="AA450" s="43"/>
      <x:c r="AB450" s="43"/>
      <x:c r="AC450" s="43"/>
      <x:c r="AD450" s="43"/>
      <x:c r="AE450" s="43"/>
      <x:c r="AF450" s="43"/>
      <x:c r="AG450" s="67"/>
      <x:c r="AH450" s="43"/>
      <x:c r="AI450" s="43"/>
    </x:row>
    <x:row r="451">
      <x:c r="A451" s="43"/>
      <x:c r="B451" s="43"/>
      <x:c r="C451" s="43"/>
      <x:c r="D451" s="43" t="str">
        <x:f>IF(C451="","",YEAR(C451))</x:f>
      </x:c>
      <x:c r="E451" s="43" t="str">
        <x:f>IF(C451="","",MONTH(C451))</x:f>
      </x:c>
      <x:c r="F451" s="43" t="str">
        <x:f>IF(C451="","",WEEKNUM(C451,21))</x:f>
      </x:c>
      <x:c r="G451" s="43" t="str">
        <x:f>IF(C451="","",CHOOSE(WEEKDAY(C451,2),"Lundi","Mardi","Mercredi","Jeudi","Vendredi","Samedi","Dimanche"))</x:f>
      </x:c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  <x:c r="AA451" s="43"/>
      <x:c r="AB451" s="43"/>
      <x:c r="AC451" s="43"/>
      <x:c r="AD451" s="43"/>
      <x:c r="AE451" s="43"/>
      <x:c r="AF451" s="43"/>
      <x:c r="AG451" s="67"/>
      <x:c r="AH451" s="43"/>
      <x:c r="AI451" s="43"/>
    </x:row>
    <x:row r="452">
      <x:c r="A452" s="43"/>
      <x:c r="B452" s="43"/>
      <x:c r="C452" s="43"/>
      <x:c r="D452" s="43" t="str">
        <x:f>IF(C452="","",YEAR(C452))</x:f>
      </x:c>
      <x:c r="E452" s="43" t="str">
        <x:f>IF(C452="","",MONTH(C452))</x:f>
      </x:c>
      <x:c r="F452" s="43" t="str">
        <x:f>IF(C452="","",WEEKNUM(C452,21))</x:f>
      </x:c>
      <x:c r="G452" s="43" t="str">
        <x:f>IF(C452="","",CHOOSE(WEEKDAY(C452,2),"Lundi","Mardi","Mercredi","Jeudi","Vendredi","Samedi","Dimanche"))</x:f>
      </x:c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  <x:c r="AA452" s="43"/>
      <x:c r="AB452" s="43"/>
      <x:c r="AC452" s="43"/>
      <x:c r="AD452" s="43"/>
      <x:c r="AE452" s="43"/>
      <x:c r="AF452" s="43"/>
      <x:c r="AG452" s="67"/>
      <x:c r="AH452" s="43"/>
      <x:c r="AI452" s="43"/>
    </x:row>
    <x:row r="453">
      <x:c r="A453" s="43"/>
      <x:c r="B453" s="43"/>
      <x:c r="C453" s="43"/>
      <x:c r="D453" s="43" t="str">
        <x:f>IF(C453="","",YEAR(C453))</x:f>
      </x:c>
      <x:c r="E453" s="43" t="str">
        <x:f>IF(C453="","",MONTH(C453))</x:f>
      </x:c>
      <x:c r="F453" s="43" t="str">
        <x:f>IF(C453="","",WEEKNUM(C453,21))</x:f>
      </x:c>
      <x:c r="G453" s="43" t="str">
        <x:f>IF(C453="","",CHOOSE(WEEKDAY(C453,2),"Lundi","Mardi","Mercredi","Jeudi","Vendredi","Samedi","Dimanche"))</x:f>
      </x:c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  <x:c r="AA453" s="43"/>
      <x:c r="AB453" s="43"/>
      <x:c r="AC453" s="43"/>
      <x:c r="AD453" s="43"/>
      <x:c r="AE453" s="43"/>
      <x:c r="AF453" s="43"/>
      <x:c r="AG453" s="67"/>
      <x:c r="AH453" s="43"/>
      <x:c r="AI453" s="43"/>
    </x:row>
    <x:row r="454">
      <x:c r="A454" s="43"/>
      <x:c r="B454" s="43"/>
      <x:c r="C454" s="43"/>
      <x:c r="D454" s="43" t="str">
        <x:f>IF(C454="","",YEAR(C454))</x:f>
      </x:c>
      <x:c r="E454" s="43" t="str">
        <x:f>IF(C454="","",MONTH(C454))</x:f>
      </x:c>
      <x:c r="F454" s="43" t="str">
        <x:f>IF(C454="","",WEEKNUM(C454,21))</x:f>
      </x:c>
      <x:c r="G454" s="43" t="str">
        <x:f>IF(C454="","",CHOOSE(WEEKDAY(C454,2),"Lundi","Mardi","Mercredi","Jeudi","Vendredi","Samedi","Dimanche"))</x:f>
      </x:c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  <x:c r="AA454" s="43"/>
      <x:c r="AB454" s="43"/>
      <x:c r="AC454" s="43"/>
      <x:c r="AD454" s="43"/>
      <x:c r="AE454" s="43"/>
      <x:c r="AF454" s="43"/>
      <x:c r="AG454" s="67"/>
      <x:c r="AH454" s="43"/>
      <x:c r="AI454" s="43"/>
    </x:row>
    <x:row r="455">
      <x:c r="A455" s="43"/>
      <x:c r="B455" s="43"/>
      <x:c r="C455" s="43"/>
      <x:c r="D455" s="43" t="str">
        <x:f>IF(C455="","",YEAR(C455))</x:f>
      </x:c>
      <x:c r="E455" s="43" t="str">
        <x:f>IF(C455="","",MONTH(C455))</x:f>
      </x:c>
      <x:c r="F455" s="43" t="str">
        <x:f>IF(C455="","",WEEKNUM(C455,21))</x:f>
      </x:c>
      <x:c r="G455" s="43" t="str">
        <x:f>IF(C455="","",CHOOSE(WEEKDAY(C455,2),"Lundi","Mardi","Mercredi","Jeudi","Vendredi","Samedi","Dimanche"))</x:f>
      </x:c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  <x:c r="AA455" s="43"/>
      <x:c r="AB455" s="43"/>
      <x:c r="AC455" s="43"/>
      <x:c r="AD455" s="43"/>
      <x:c r="AE455" s="43"/>
      <x:c r="AF455" s="43"/>
      <x:c r="AG455" s="67"/>
      <x:c r="AH455" s="43"/>
      <x:c r="AI455" s="43"/>
    </x:row>
    <x:row r="456">
      <x:c r="A456" s="43"/>
      <x:c r="B456" s="43"/>
      <x:c r="C456" s="43"/>
      <x:c r="D456" s="43" t="str">
        <x:f>IF(C456="","",YEAR(C456))</x:f>
      </x:c>
      <x:c r="E456" s="43" t="str">
        <x:f>IF(C456="","",MONTH(C456))</x:f>
      </x:c>
      <x:c r="F456" s="43" t="str">
        <x:f>IF(C456="","",WEEKNUM(C456,21))</x:f>
      </x:c>
      <x:c r="G456" s="43" t="str">
        <x:f>IF(C456="","",CHOOSE(WEEKDAY(C456,2),"Lundi","Mardi","Mercredi","Jeudi","Vendredi","Samedi","Dimanche"))</x:f>
      </x:c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  <x:c r="AA456" s="43"/>
      <x:c r="AB456" s="43"/>
      <x:c r="AC456" s="43"/>
      <x:c r="AD456" s="43"/>
      <x:c r="AE456" s="43"/>
      <x:c r="AF456" s="43"/>
      <x:c r="AG456" s="67"/>
      <x:c r="AH456" s="43"/>
      <x:c r="AI456" s="43"/>
    </x:row>
    <x:row r="457">
      <x:c r="A457" s="43"/>
      <x:c r="B457" s="43"/>
      <x:c r="C457" s="43"/>
      <x:c r="D457" s="43" t="str">
        <x:f>IF(C457="","",YEAR(C457))</x:f>
      </x:c>
      <x:c r="E457" s="43" t="str">
        <x:f>IF(C457="","",MONTH(C457))</x:f>
      </x:c>
      <x:c r="F457" s="43" t="str">
        <x:f>IF(C457="","",WEEKNUM(C457,21))</x:f>
      </x:c>
      <x:c r="G457" s="43" t="str">
        <x:f>IF(C457="","",CHOOSE(WEEKDAY(C457,2),"Lundi","Mardi","Mercredi","Jeudi","Vendredi","Samedi","Dimanche"))</x:f>
      </x:c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  <x:c r="AA457" s="43"/>
      <x:c r="AB457" s="43"/>
      <x:c r="AC457" s="43"/>
      <x:c r="AD457" s="43"/>
      <x:c r="AE457" s="43"/>
      <x:c r="AF457" s="43"/>
      <x:c r="AG457" s="67"/>
      <x:c r="AH457" s="43"/>
      <x:c r="AI457" s="43"/>
    </x:row>
    <x:row r="458">
      <x:c r="A458" s="43"/>
      <x:c r="B458" s="43"/>
      <x:c r="C458" s="43"/>
      <x:c r="D458" s="43" t="str">
        <x:f>IF(C458="","",YEAR(C458))</x:f>
      </x:c>
      <x:c r="E458" s="43" t="str">
        <x:f>IF(C458="","",MONTH(C458))</x:f>
      </x:c>
      <x:c r="F458" s="43" t="str">
        <x:f>IF(C458="","",WEEKNUM(C458,21))</x:f>
      </x:c>
      <x:c r="G458" s="43" t="str">
        <x:f>IF(C458="","",CHOOSE(WEEKDAY(C458,2),"Lundi","Mardi","Mercredi","Jeudi","Vendredi","Samedi","Dimanche"))</x:f>
      </x:c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  <x:c r="AA458" s="43"/>
      <x:c r="AB458" s="43"/>
      <x:c r="AC458" s="43"/>
      <x:c r="AD458" s="43"/>
      <x:c r="AE458" s="43"/>
      <x:c r="AF458" s="43"/>
      <x:c r="AG458" s="67"/>
      <x:c r="AH458" s="43"/>
      <x:c r="AI458" s="43"/>
    </x:row>
    <x:row r="459">
      <x:c r="A459" s="43"/>
      <x:c r="B459" s="43"/>
      <x:c r="C459" s="43"/>
      <x:c r="D459" s="43" t="str">
        <x:f>IF(C459="","",YEAR(C459))</x:f>
      </x:c>
      <x:c r="E459" s="43" t="str">
        <x:f>IF(C459="","",MONTH(C459))</x:f>
      </x:c>
      <x:c r="F459" s="43" t="str">
        <x:f>IF(C459="","",WEEKNUM(C459,21))</x:f>
      </x:c>
      <x:c r="G459" s="43" t="str">
        <x:f>IF(C459="","",CHOOSE(WEEKDAY(C459,2),"Lundi","Mardi","Mercredi","Jeudi","Vendredi","Samedi","Dimanche"))</x:f>
      </x:c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  <x:c r="AA459" s="43"/>
      <x:c r="AB459" s="43"/>
      <x:c r="AC459" s="43"/>
      <x:c r="AD459" s="43"/>
      <x:c r="AE459" s="43"/>
      <x:c r="AF459" s="43"/>
      <x:c r="AG459" s="67"/>
      <x:c r="AH459" s="43"/>
      <x:c r="AI459" s="43"/>
    </x:row>
    <x:row r="460">
      <x:c r="A460" s="43"/>
      <x:c r="B460" s="43"/>
      <x:c r="C460" s="43"/>
      <x:c r="D460" s="43" t="str">
        <x:f>IF(C460="","",YEAR(C460))</x:f>
      </x:c>
      <x:c r="E460" s="43" t="str">
        <x:f>IF(C460="","",MONTH(C460))</x:f>
      </x:c>
      <x:c r="F460" s="43" t="str">
        <x:f>IF(C460="","",WEEKNUM(C460,21))</x:f>
      </x:c>
      <x:c r="G460" s="43" t="str">
        <x:f>IF(C460="","",CHOOSE(WEEKDAY(C460,2),"Lundi","Mardi","Mercredi","Jeudi","Vendredi","Samedi","Dimanche"))</x:f>
      </x:c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  <x:c r="AA460" s="43"/>
      <x:c r="AB460" s="43"/>
      <x:c r="AC460" s="43"/>
      <x:c r="AD460" s="43"/>
      <x:c r="AE460" s="43"/>
      <x:c r="AF460" s="43"/>
      <x:c r="AG460" s="67"/>
      <x:c r="AH460" s="43"/>
      <x:c r="AI460" s="43"/>
    </x:row>
    <x:row r="461">
      <x:c r="A461" s="43"/>
      <x:c r="B461" s="43"/>
      <x:c r="C461" s="43"/>
      <x:c r="D461" s="43" t="str">
        <x:f>IF(C461="","",YEAR(C461))</x:f>
      </x:c>
      <x:c r="E461" s="43" t="str">
        <x:f>IF(C461="","",MONTH(C461))</x:f>
      </x:c>
      <x:c r="F461" s="43" t="str">
        <x:f>IF(C461="","",WEEKNUM(C461,21))</x:f>
      </x:c>
      <x:c r="G461" s="43" t="str">
        <x:f>IF(C461="","",CHOOSE(WEEKDAY(C461,2),"Lundi","Mardi","Mercredi","Jeudi","Vendredi","Samedi","Dimanche"))</x:f>
      </x:c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  <x:c r="AA461" s="43"/>
      <x:c r="AB461" s="43"/>
      <x:c r="AC461" s="43"/>
      <x:c r="AD461" s="43"/>
      <x:c r="AE461" s="43"/>
      <x:c r="AF461" s="43"/>
      <x:c r="AG461" s="67"/>
      <x:c r="AH461" s="43"/>
      <x:c r="AI461" s="43"/>
    </x:row>
    <x:row r="462">
      <x:c r="A462" s="43"/>
      <x:c r="B462" s="43"/>
      <x:c r="C462" s="43"/>
      <x:c r="D462" s="43" t="str">
        <x:f>IF(C462="","",YEAR(C462))</x:f>
      </x:c>
      <x:c r="E462" s="43" t="str">
        <x:f>IF(C462="","",MONTH(C462))</x:f>
      </x:c>
      <x:c r="F462" s="43" t="str">
        <x:f>IF(C462="","",WEEKNUM(C462,21))</x:f>
      </x:c>
      <x:c r="G462" s="43" t="str">
        <x:f>IF(C462="","",CHOOSE(WEEKDAY(C462,2),"Lundi","Mardi","Mercredi","Jeudi","Vendredi","Samedi","Dimanche"))</x:f>
      </x:c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  <x:c r="AA462" s="43"/>
      <x:c r="AB462" s="43"/>
      <x:c r="AC462" s="43"/>
      <x:c r="AD462" s="43"/>
      <x:c r="AE462" s="43"/>
      <x:c r="AF462" s="43"/>
      <x:c r="AG462" s="67"/>
      <x:c r="AH462" s="43"/>
      <x:c r="AI462" s="43"/>
    </x:row>
    <x:row r="463">
      <x:c r="A463" s="43"/>
      <x:c r="B463" s="43"/>
      <x:c r="C463" s="43"/>
      <x:c r="D463" s="43" t="str">
        <x:f>IF(C463="","",YEAR(C463))</x:f>
      </x:c>
      <x:c r="E463" s="43" t="str">
        <x:f>IF(C463="","",MONTH(C463))</x:f>
      </x:c>
      <x:c r="F463" s="43" t="str">
        <x:f>IF(C463="","",WEEKNUM(C463,21))</x:f>
      </x:c>
      <x:c r="G463" s="43" t="str">
        <x:f>IF(C463="","",CHOOSE(WEEKDAY(C463,2),"Lundi","Mardi","Mercredi","Jeudi","Vendredi","Samedi","Dimanche"))</x:f>
      </x:c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  <x:c r="AA463" s="43"/>
      <x:c r="AB463" s="43"/>
      <x:c r="AC463" s="43"/>
      <x:c r="AD463" s="43"/>
      <x:c r="AE463" s="43"/>
      <x:c r="AF463" s="43"/>
      <x:c r="AG463" s="67"/>
      <x:c r="AH463" s="43"/>
      <x:c r="AI463" s="43"/>
    </x:row>
    <x:row r="464">
      <x:c r="A464" s="43"/>
      <x:c r="B464" s="43"/>
      <x:c r="C464" s="43"/>
      <x:c r="D464" s="43" t="str">
        <x:f>IF(C464="","",YEAR(C464))</x:f>
      </x:c>
      <x:c r="E464" s="43" t="str">
        <x:f>IF(C464="","",MONTH(C464))</x:f>
      </x:c>
      <x:c r="F464" s="43" t="str">
        <x:f>IF(C464="","",WEEKNUM(C464,21))</x:f>
      </x:c>
      <x:c r="G464" s="43" t="str">
        <x:f>IF(C464="","",CHOOSE(WEEKDAY(C464,2),"Lundi","Mardi","Mercredi","Jeudi","Vendredi","Samedi","Dimanche"))</x:f>
      </x:c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  <x:c r="AA464" s="43"/>
      <x:c r="AB464" s="43"/>
      <x:c r="AC464" s="43"/>
      <x:c r="AD464" s="43"/>
      <x:c r="AE464" s="43"/>
      <x:c r="AF464" s="43"/>
      <x:c r="AG464" s="67"/>
      <x:c r="AH464" s="43"/>
      <x:c r="AI464" s="43"/>
    </x:row>
    <x:row r="465">
      <x:c r="A465" s="43"/>
      <x:c r="B465" s="43"/>
      <x:c r="C465" s="43"/>
      <x:c r="D465" s="43" t="str">
        <x:f>IF(C465="","",YEAR(C465))</x:f>
      </x:c>
      <x:c r="E465" s="43" t="str">
        <x:f>IF(C465="","",MONTH(C465))</x:f>
      </x:c>
      <x:c r="F465" s="43" t="str">
        <x:f>IF(C465="","",WEEKNUM(C465,21))</x:f>
      </x:c>
      <x:c r="G465" s="43" t="str">
        <x:f>IF(C465="","",CHOOSE(WEEKDAY(C465,2),"Lundi","Mardi","Mercredi","Jeudi","Vendredi","Samedi","Dimanche"))</x:f>
      </x:c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  <x:c r="AA465" s="43"/>
      <x:c r="AB465" s="43"/>
      <x:c r="AC465" s="43"/>
      <x:c r="AD465" s="43"/>
      <x:c r="AE465" s="43"/>
      <x:c r="AF465" s="43"/>
      <x:c r="AG465" s="67"/>
      <x:c r="AH465" s="43"/>
      <x:c r="AI465" s="43"/>
    </x:row>
    <x:row r="466">
      <x:c r="A466" s="43"/>
      <x:c r="B466" s="43"/>
      <x:c r="C466" s="43"/>
      <x:c r="D466" s="43" t="str">
        <x:f>IF(C466="","",YEAR(C466))</x:f>
      </x:c>
      <x:c r="E466" s="43" t="str">
        <x:f>IF(C466="","",MONTH(C466))</x:f>
      </x:c>
      <x:c r="F466" s="43" t="str">
        <x:f>IF(C466="","",WEEKNUM(C466,21))</x:f>
      </x:c>
      <x:c r="G466" s="43" t="str">
        <x:f>IF(C466="","",CHOOSE(WEEKDAY(C466,2),"Lundi","Mardi","Mercredi","Jeudi","Vendredi","Samedi","Dimanche"))</x:f>
      </x:c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  <x:c r="AA466" s="43"/>
      <x:c r="AB466" s="43"/>
      <x:c r="AC466" s="43"/>
      <x:c r="AD466" s="43"/>
      <x:c r="AE466" s="43"/>
      <x:c r="AF466" s="43"/>
      <x:c r="AG466" s="67"/>
      <x:c r="AH466" s="43"/>
      <x:c r="AI466" s="43"/>
    </x:row>
    <x:row r="467">
      <x:c r="A467" s="43"/>
      <x:c r="B467" s="43"/>
      <x:c r="C467" s="43"/>
      <x:c r="D467" s="43" t="str">
        <x:f>IF(C467="","",YEAR(C467))</x:f>
      </x:c>
      <x:c r="E467" s="43" t="str">
        <x:f>IF(C467="","",MONTH(C467))</x:f>
      </x:c>
      <x:c r="F467" s="43" t="str">
        <x:f>IF(C467="","",WEEKNUM(C467,21))</x:f>
      </x:c>
      <x:c r="G467" s="43" t="str">
        <x:f>IF(C467="","",CHOOSE(WEEKDAY(C467,2),"Lundi","Mardi","Mercredi","Jeudi","Vendredi","Samedi","Dimanche"))</x:f>
      </x:c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  <x:c r="AA467" s="43"/>
      <x:c r="AB467" s="43"/>
      <x:c r="AC467" s="43"/>
      <x:c r="AD467" s="43"/>
      <x:c r="AE467" s="43"/>
      <x:c r="AF467" s="43"/>
      <x:c r="AG467" s="67"/>
      <x:c r="AH467" s="43"/>
      <x:c r="AI467" s="43"/>
    </x:row>
    <x:row r="468">
      <x:c r="A468" s="43"/>
      <x:c r="B468" s="43"/>
      <x:c r="C468" s="43"/>
      <x:c r="D468" s="43" t="str">
        <x:f>IF(C468="","",YEAR(C468))</x:f>
      </x:c>
      <x:c r="E468" s="43" t="str">
        <x:f>IF(C468="","",MONTH(C468))</x:f>
      </x:c>
      <x:c r="F468" s="43" t="str">
        <x:f>IF(C468="","",WEEKNUM(C468,21))</x:f>
      </x:c>
      <x:c r="G468" s="43" t="str">
        <x:f>IF(C468="","",CHOOSE(WEEKDAY(C468,2),"Lundi","Mardi","Mercredi","Jeudi","Vendredi","Samedi","Dimanche"))</x:f>
      </x:c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  <x:c r="AA468" s="43"/>
      <x:c r="AB468" s="43"/>
      <x:c r="AC468" s="43"/>
      <x:c r="AD468" s="43"/>
      <x:c r="AE468" s="43"/>
      <x:c r="AF468" s="43"/>
      <x:c r="AG468" s="67"/>
      <x:c r="AH468" s="43"/>
      <x:c r="AI468" s="43"/>
    </x:row>
    <x:row r="469">
      <x:c r="A469" s="43"/>
      <x:c r="B469" s="43"/>
      <x:c r="C469" s="43"/>
      <x:c r="D469" s="43" t="str">
        <x:f>IF(C469="","",YEAR(C469))</x:f>
      </x:c>
      <x:c r="E469" s="43" t="str">
        <x:f>IF(C469="","",MONTH(C469))</x:f>
      </x:c>
      <x:c r="F469" s="43" t="str">
        <x:f>IF(C469="","",WEEKNUM(C469,21))</x:f>
      </x:c>
      <x:c r="G469" s="43" t="str">
        <x:f>IF(C469="","",CHOOSE(WEEKDAY(C469,2),"Lundi","Mardi","Mercredi","Jeudi","Vendredi","Samedi","Dimanche"))</x:f>
      </x:c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  <x:c r="AA469" s="43"/>
      <x:c r="AB469" s="43"/>
      <x:c r="AC469" s="43"/>
      <x:c r="AD469" s="43"/>
      <x:c r="AE469" s="43"/>
      <x:c r="AF469" s="43"/>
      <x:c r="AG469" s="67"/>
      <x:c r="AH469" s="43"/>
      <x:c r="AI469" s="43"/>
    </x:row>
    <x:row r="470">
      <x:c r="A470" s="43"/>
      <x:c r="B470" s="43"/>
      <x:c r="C470" s="43"/>
      <x:c r="D470" s="43" t="str">
        <x:f>IF(C470="","",YEAR(C470))</x:f>
      </x:c>
      <x:c r="E470" s="43" t="str">
        <x:f>IF(C470="","",MONTH(C470))</x:f>
      </x:c>
      <x:c r="F470" s="43" t="str">
        <x:f>IF(C470="","",WEEKNUM(C470,21))</x:f>
      </x:c>
      <x:c r="G470" s="43" t="str">
        <x:f>IF(C470="","",CHOOSE(WEEKDAY(C470,2),"Lundi","Mardi","Mercredi","Jeudi","Vendredi","Samedi","Dimanche"))</x:f>
      </x:c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  <x:c r="AA470" s="43"/>
      <x:c r="AB470" s="43"/>
      <x:c r="AC470" s="43"/>
      <x:c r="AD470" s="43"/>
      <x:c r="AE470" s="43"/>
      <x:c r="AF470" s="43"/>
      <x:c r="AG470" s="67"/>
      <x:c r="AH470" s="43"/>
      <x:c r="AI470" s="43"/>
    </x:row>
    <x:row r="471">
      <x:c r="A471" s="43"/>
      <x:c r="B471" s="43"/>
      <x:c r="C471" s="43"/>
      <x:c r="D471" s="43" t="str">
        <x:f>IF(C471="","",YEAR(C471))</x:f>
      </x:c>
      <x:c r="E471" s="43" t="str">
        <x:f>IF(C471="","",MONTH(C471))</x:f>
      </x:c>
      <x:c r="F471" s="43" t="str">
        <x:f>IF(C471="","",WEEKNUM(C471,21))</x:f>
      </x:c>
      <x:c r="G471" s="43" t="str">
        <x:f>IF(C471="","",CHOOSE(WEEKDAY(C471,2),"Lundi","Mardi","Mercredi","Jeudi","Vendredi","Samedi","Dimanche"))</x:f>
      </x:c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  <x:c r="AA471" s="43"/>
      <x:c r="AB471" s="43"/>
      <x:c r="AC471" s="43"/>
      <x:c r="AD471" s="43"/>
      <x:c r="AE471" s="43"/>
      <x:c r="AF471" s="43"/>
      <x:c r="AG471" s="67"/>
      <x:c r="AH471" s="43"/>
      <x:c r="AI471" s="43"/>
    </x:row>
    <x:row r="472">
      <x:c r="A472" s="43"/>
      <x:c r="B472" s="43"/>
      <x:c r="C472" s="43"/>
      <x:c r="D472" s="43" t="str">
        <x:f>IF(C472="","",YEAR(C472))</x:f>
      </x:c>
      <x:c r="E472" s="43" t="str">
        <x:f>IF(C472="","",MONTH(C472))</x:f>
      </x:c>
      <x:c r="F472" s="43" t="str">
        <x:f>IF(C472="","",WEEKNUM(C472,21))</x:f>
      </x:c>
      <x:c r="G472" s="43" t="str">
        <x:f>IF(C472="","",CHOOSE(WEEKDAY(C472,2),"Lundi","Mardi","Mercredi","Jeudi","Vendredi","Samedi","Dimanche"))</x:f>
      </x:c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  <x:c r="AA472" s="43"/>
      <x:c r="AB472" s="43"/>
      <x:c r="AC472" s="43"/>
      <x:c r="AD472" s="43"/>
      <x:c r="AE472" s="43"/>
      <x:c r="AF472" s="43"/>
      <x:c r="AG472" s="67"/>
      <x:c r="AH472" s="43"/>
      <x:c r="AI472" s="43"/>
    </x:row>
    <x:row r="473">
      <x:c r="A473" s="43"/>
      <x:c r="B473" s="43"/>
      <x:c r="C473" s="43"/>
      <x:c r="D473" s="43" t="str">
        <x:f>IF(C473="","",YEAR(C473))</x:f>
      </x:c>
      <x:c r="E473" s="43" t="str">
        <x:f>IF(C473="","",MONTH(C473))</x:f>
      </x:c>
      <x:c r="F473" s="43" t="str">
        <x:f>IF(C473="","",WEEKNUM(C473,21))</x:f>
      </x:c>
      <x:c r="G473" s="43" t="str">
        <x:f>IF(C473="","",CHOOSE(WEEKDAY(C473,2),"Lundi","Mardi","Mercredi","Jeudi","Vendredi","Samedi","Dimanche"))</x:f>
      </x:c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  <x:c r="AA473" s="43"/>
      <x:c r="AB473" s="43"/>
      <x:c r="AC473" s="43"/>
      <x:c r="AD473" s="43"/>
      <x:c r="AE473" s="43"/>
      <x:c r="AF473" s="43"/>
      <x:c r="AG473" s="67"/>
      <x:c r="AH473" s="43"/>
      <x:c r="AI473" s="43"/>
    </x:row>
    <x:row r="474">
      <x:c r="A474" s="43"/>
      <x:c r="B474" s="43"/>
      <x:c r="C474" s="43"/>
      <x:c r="D474" s="43" t="str">
        <x:f>IF(C474="","",YEAR(C474))</x:f>
      </x:c>
      <x:c r="E474" s="43" t="str">
        <x:f>IF(C474="","",MONTH(C474))</x:f>
      </x:c>
      <x:c r="F474" s="43" t="str">
        <x:f>IF(C474="","",WEEKNUM(C474,21))</x:f>
      </x:c>
      <x:c r="G474" s="43" t="str">
        <x:f>IF(C474="","",CHOOSE(WEEKDAY(C474,2),"Lundi","Mardi","Mercredi","Jeudi","Vendredi","Samedi","Dimanche"))</x:f>
      </x:c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  <x:c r="AA474" s="43"/>
      <x:c r="AB474" s="43"/>
      <x:c r="AC474" s="43"/>
      <x:c r="AD474" s="43"/>
      <x:c r="AE474" s="43"/>
      <x:c r="AF474" s="43"/>
      <x:c r="AG474" s="67"/>
      <x:c r="AH474" s="43"/>
      <x:c r="AI474" s="43"/>
    </x:row>
    <x:row r="475">
      <x:c r="A475" s="43"/>
      <x:c r="B475" s="43"/>
      <x:c r="C475" s="43"/>
      <x:c r="D475" s="43" t="str">
        <x:f>IF(C475="","",YEAR(C475))</x:f>
      </x:c>
      <x:c r="E475" s="43" t="str">
        <x:f>IF(C475="","",MONTH(C475))</x:f>
      </x:c>
      <x:c r="F475" s="43" t="str">
        <x:f>IF(C475="","",WEEKNUM(C475,21))</x:f>
      </x:c>
      <x:c r="G475" s="43" t="str">
        <x:f>IF(C475="","",CHOOSE(WEEKDAY(C475,2),"Lundi","Mardi","Mercredi","Jeudi","Vendredi","Samedi","Dimanche"))</x:f>
      </x:c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  <x:c r="AA475" s="43"/>
      <x:c r="AB475" s="43"/>
      <x:c r="AC475" s="43"/>
      <x:c r="AD475" s="43"/>
      <x:c r="AE475" s="43"/>
      <x:c r="AF475" s="43"/>
      <x:c r="AG475" s="67"/>
      <x:c r="AH475" s="43"/>
      <x:c r="AI475" s="43"/>
    </x:row>
    <x:row r="476">
      <x:c r="A476" s="43"/>
      <x:c r="B476" s="43"/>
      <x:c r="C476" s="43"/>
      <x:c r="D476" s="43" t="str">
        <x:f>IF(C476="","",YEAR(C476))</x:f>
      </x:c>
      <x:c r="E476" s="43" t="str">
        <x:f>IF(C476="","",MONTH(C476))</x:f>
      </x:c>
      <x:c r="F476" s="43" t="str">
        <x:f>IF(C476="","",WEEKNUM(C476,21))</x:f>
      </x:c>
      <x:c r="G476" s="43" t="str">
        <x:f>IF(C476="","",CHOOSE(WEEKDAY(C476,2),"Lundi","Mardi","Mercredi","Jeudi","Vendredi","Samedi","Dimanche"))</x:f>
      </x:c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  <x:c r="AA476" s="43"/>
      <x:c r="AB476" s="43"/>
      <x:c r="AC476" s="43"/>
      <x:c r="AD476" s="43"/>
      <x:c r="AE476" s="43"/>
      <x:c r="AF476" s="43"/>
      <x:c r="AG476" s="67"/>
      <x:c r="AH476" s="43"/>
      <x:c r="AI476" s="43"/>
    </x:row>
    <x:row r="477">
      <x:c r="A477" s="43"/>
      <x:c r="B477" s="43"/>
      <x:c r="C477" s="43"/>
      <x:c r="D477" s="43" t="str">
        <x:f>IF(C477="","",YEAR(C477))</x:f>
      </x:c>
      <x:c r="E477" s="43" t="str">
        <x:f>IF(C477="","",MONTH(C477))</x:f>
      </x:c>
      <x:c r="F477" s="43" t="str">
        <x:f>IF(C477="","",WEEKNUM(C477,21))</x:f>
      </x:c>
      <x:c r="G477" s="43" t="str">
        <x:f>IF(C477="","",CHOOSE(WEEKDAY(C477,2),"Lundi","Mardi","Mercredi","Jeudi","Vendredi","Samedi","Dimanche"))</x:f>
      </x:c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  <x:c r="AA477" s="43"/>
      <x:c r="AB477" s="43"/>
      <x:c r="AC477" s="43"/>
      <x:c r="AD477" s="43"/>
      <x:c r="AE477" s="43"/>
      <x:c r="AF477" s="43"/>
      <x:c r="AG477" s="67"/>
      <x:c r="AH477" s="43"/>
      <x:c r="AI477" s="43"/>
    </x:row>
    <x:row r="478">
      <x:c r="A478" s="43"/>
      <x:c r="B478" s="43"/>
      <x:c r="C478" s="43"/>
      <x:c r="D478" s="43" t="str">
        <x:f>IF(C478="","",YEAR(C478))</x:f>
      </x:c>
      <x:c r="E478" s="43" t="str">
        <x:f>IF(C478="","",MONTH(C478))</x:f>
      </x:c>
      <x:c r="F478" s="43" t="str">
        <x:f>IF(C478="","",WEEKNUM(C478,21))</x:f>
      </x:c>
      <x:c r="G478" s="43" t="str">
        <x:f>IF(C478="","",CHOOSE(WEEKDAY(C478,2),"Lundi","Mardi","Mercredi","Jeudi","Vendredi","Samedi","Dimanche"))</x:f>
      </x:c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  <x:c r="AA478" s="43"/>
      <x:c r="AB478" s="43"/>
      <x:c r="AC478" s="43"/>
      <x:c r="AD478" s="43"/>
      <x:c r="AE478" s="43"/>
      <x:c r="AF478" s="43"/>
      <x:c r="AG478" s="67"/>
      <x:c r="AH478" s="43"/>
      <x:c r="AI478" s="43"/>
    </x:row>
    <x:row r="479">
      <x:c r="A479" s="43"/>
      <x:c r="B479" s="43"/>
      <x:c r="C479" s="43"/>
      <x:c r="D479" s="43" t="str">
        <x:f>IF(C479="","",YEAR(C479))</x:f>
      </x:c>
      <x:c r="E479" s="43" t="str">
        <x:f>IF(C479="","",MONTH(C479))</x:f>
      </x:c>
      <x:c r="F479" s="43" t="str">
        <x:f>IF(C479="","",WEEKNUM(C479,21))</x:f>
      </x:c>
      <x:c r="G479" s="43" t="str">
        <x:f>IF(C479="","",CHOOSE(WEEKDAY(C479,2),"Lundi","Mardi","Mercredi","Jeudi","Vendredi","Samedi","Dimanche"))</x:f>
      </x:c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  <x:c r="AA479" s="43"/>
      <x:c r="AB479" s="43"/>
      <x:c r="AC479" s="43"/>
      <x:c r="AD479" s="43"/>
      <x:c r="AE479" s="43"/>
      <x:c r="AF479" s="43"/>
      <x:c r="AG479" s="67"/>
      <x:c r="AH479" s="43"/>
      <x:c r="AI479" s="43"/>
    </x:row>
    <x:row r="480">
      <x:c r="A480" s="43"/>
      <x:c r="B480" s="43"/>
      <x:c r="C480" s="43"/>
      <x:c r="D480" s="43" t="str">
        <x:f>IF(C480="","",YEAR(C480))</x:f>
      </x:c>
      <x:c r="E480" s="43" t="str">
        <x:f>IF(C480="","",MONTH(C480))</x:f>
      </x:c>
      <x:c r="F480" s="43" t="str">
        <x:f>IF(C480="","",WEEKNUM(C480,21))</x:f>
      </x:c>
      <x:c r="G480" s="43" t="str">
        <x:f>IF(C480="","",CHOOSE(WEEKDAY(C480,2),"Lundi","Mardi","Mercredi","Jeudi","Vendredi","Samedi","Dimanche"))</x:f>
      </x:c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  <x:c r="AA480" s="43"/>
      <x:c r="AB480" s="43"/>
      <x:c r="AC480" s="43"/>
      <x:c r="AD480" s="43"/>
      <x:c r="AE480" s="43"/>
      <x:c r="AF480" s="43"/>
      <x:c r="AG480" s="67"/>
      <x:c r="AH480" s="43"/>
      <x:c r="AI480" s="43"/>
    </x:row>
    <x:row r="481">
      <x:c r="A481" s="43"/>
      <x:c r="B481" s="43"/>
      <x:c r="C481" s="43"/>
      <x:c r="D481" s="43" t="str">
        <x:f>IF(C481="","",YEAR(C481))</x:f>
      </x:c>
      <x:c r="E481" s="43" t="str">
        <x:f>IF(C481="","",MONTH(C481))</x:f>
      </x:c>
      <x:c r="F481" s="43" t="str">
        <x:f>IF(C481="","",WEEKNUM(C481,21))</x:f>
      </x:c>
      <x:c r="G481" s="43" t="str">
        <x:f>IF(C481="","",CHOOSE(WEEKDAY(C481,2),"Lundi","Mardi","Mercredi","Jeudi","Vendredi","Samedi","Dimanche"))</x:f>
      </x:c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  <x:c r="AA481" s="43"/>
      <x:c r="AB481" s="43"/>
      <x:c r="AC481" s="43"/>
      <x:c r="AD481" s="43"/>
      <x:c r="AE481" s="43"/>
      <x:c r="AF481" s="43"/>
      <x:c r="AG481" s="67"/>
      <x:c r="AH481" s="43"/>
      <x:c r="AI481" s="43"/>
    </x:row>
    <x:row r="482">
      <x:c r="A482" s="43"/>
      <x:c r="B482" s="43"/>
      <x:c r="C482" s="43"/>
      <x:c r="D482" s="43" t="str">
        <x:f>IF(C482="","",YEAR(C482))</x:f>
      </x:c>
      <x:c r="E482" s="43" t="str">
        <x:f>IF(C482="","",MONTH(C482))</x:f>
      </x:c>
      <x:c r="F482" s="43" t="str">
        <x:f>IF(C482="","",WEEKNUM(C482,21))</x:f>
      </x:c>
      <x:c r="G482" s="43" t="str">
        <x:f>IF(C482="","",CHOOSE(WEEKDAY(C482,2),"Lundi","Mardi","Mercredi","Jeudi","Vendredi","Samedi","Dimanche"))</x:f>
      </x:c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  <x:c r="AA482" s="43"/>
      <x:c r="AB482" s="43"/>
      <x:c r="AC482" s="43"/>
      <x:c r="AD482" s="43"/>
      <x:c r="AE482" s="43"/>
      <x:c r="AF482" s="43"/>
      <x:c r="AG482" s="67"/>
      <x:c r="AH482" s="43"/>
      <x:c r="AI482" s="43"/>
    </x:row>
    <x:row r="483">
      <x:c r="A483" s="43"/>
      <x:c r="B483" s="43"/>
      <x:c r="C483" s="43"/>
      <x:c r="D483" s="43" t="str">
        <x:f>IF(C483="","",YEAR(C483))</x:f>
      </x:c>
      <x:c r="E483" s="43" t="str">
        <x:f>IF(C483="","",MONTH(C483))</x:f>
      </x:c>
      <x:c r="F483" s="43" t="str">
        <x:f>IF(C483="","",WEEKNUM(C483,21))</x:f>
      </x:c>
      <x:c r="G483" s="43" t="str">
        <x:f>IF(C483="","",CHOOSE(WEEKDAY(C483,2),"Lundi","Mardi","Mercredi","Jeudi","Vendredi","Samedi","Dimanche"))</x:f>
      </x:c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  <x:c r="AA483" s="43"/>
      <x:c r="AB483" s="43"/>
      <x:c r="AC483" s="43"/>
      <x:c r="AD483" s="43"/>
      <x:c r="AE483" s="43"/>
      <x:c r="AF483" s="43"/>
      <x:c r="AG483" s="67"/>
      <x:c r="AH483" s="43"/>
      <x:c r="AI483" s="43"/>
    </x:row>
    <x:row r="484">
      <x:c r="A484" s="43"/>
      <x:c r="B484" s="43"/>
      <x:c r="C484" s="43"/>
      <x:c r="D484" s="43" t="str">
        <x:f>IF(C484="","",YEAR(C484))</x:f>
      </x:c>
      <x:c r="E484" s="43" t="str">
        <x:f>IF(C484="","",MONTH(C484))</x:f>
      </x:c>
      <x:c r="F484" s="43" t="str">
        <x:f>IF(C484="","",WEEKNUM(C484,21))</x:f>
      </x:c>
      <x:c r="G484" s="43" t="str">
        <x:f>IF(C484="","",CHOOSE(WEEKDAY(C484,2),"Lundi","Mardi","Mercredi","Jeudi","Vendredi","Samedi","Dimanche"))</x:f>
      </x:c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  <x:c r="AA484" s="43"/>
      <x:c r="AB484" s="43"/>
      <x:c r="AC484" s="43"/>
      <x:c r="AD484" s="43"/>
      <x:c r="AE484" s="43"/>
      <x:c r="AF484" s="43"/>
      <x:c r="AG484" s="67"/>
      <x:c r="AH484" s="43"/>
      <x:c r="AI484" s="43"/>
    </x:row>
    <x:row r="485">
      <x:c r="A485" s="43"/>
      <x:c r="B485" s="43"/>
      <x:c r="C485" s="43"/>
      <x:c r="D485" s="43" t="str">
        <x:f>IF(C485="","",YEAR(C485))</x:f>
      </x:c>
      <x:c r="E485" s="43" t="str">
        <x:f>IF(C485="","",MONTH(C485))</x:f>
      </x:c>
      <x:c r="F485" s="43" t="str">
        <x:f>IF(C485="","",WEEKNUM(C485,21))</x:f>
      </x:c>
      <x:c r="G485" s="43" t="str">
        <x:f>IF(C485="","",CHOOSE(WEEKDAY(C485,2),"Lundi","Mardi","Mercredi","Jeudi","Vendredi","Samedi","Dimanche"))</x:f>
      </x:c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  <x:c r="AA485" s="43"/>
      <x:c r="AB485" s="43"/>
      <x:c r="AC485" s="43"/>
      <x:c r="AD485" s="43"/>
      <x:c r="AE485" s="43"/>
      <x:c r="AF485" s="43"/>
      <x:c r="AG485" s="67"/>
      <x:c r="AH485" s="43"/>
      <x:c r="AI485" s="43"/>
    </x:row>
    <x:row r="486">
      <x:c r="A486" s="43"/>
      <x:c r="B486" s="43"/>
      <x:c r="C486" s="43"/>
      <x:c r="D486" s="43" t="str">
        <x:f>IF(C486="","",YEAR(C486))</x:f>
      </x:c>
      <x:c r="E486" s="43" t="str">
        <x:f>IF(C486="","",MONTH(C486))</x:f>
      </x:c>
      <x:c r="F486" s="43" t="str">
        <x:f>IF(C486="","",WEEKNUM(C486,21))</x:f>
      </x:c>
      <x:c r="G486" s="43" t="str">
        <x:f>IF(C486="","",CHOOSE(WEEKDAY(C486,2),"Lundi","Mardi","Mercredi","Jeudi","Vendredi","Samedi","Dimanche"))</x:f>
      </x:c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  <x:c r="AA486" s="43"/>
      <x:c r="AB486" s="43"/>
      <x:c r="AC486" s="43"/>
      <x:c r="AD486" s="43"/>
      <x:c r="AE486" s="43"/>
      <x:c r="AF486" s="43"/>
      <x:c r="AG486" s="67"/>
      <x:c r="AH486" s="43"/>
      <x:c r="AI486" s="43"/>
    </x:row>
    <x:row r="487">
      <x:c r="A487" s="43"/>
      <x:c r="B487" s="43"/>
      <x:c r="C487" s="43"/>
      <x:c r="D487" s="43" t="str">
        <x:f>IF(C487="","",YEAR(C487))</x:f>
      </x:c>
      <x:c r="E487" s="43" t="str">
        <x:f>IF(C487="","",MONTH(C487))</x:f>
      </x:c>
      <x:c r="F487" s="43" t="str">
        <x:f>IF(C487="","",WEEKNUM(C487,21))</x:f>
      </x:c>
      <x:c r="G487" s="43" t="str">
        <x:f>IF(C487="","",CHOOSE(WEEKDAY(C487,2),"Lundi","Mardi","Mercredi","Jeudi","Vendredi","Samedi","Dimanche"))</x:f>
      </x:c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  <x:c r="AA487" s="43"/>
      <x:c r="AB487" s="43"/>
      <x:c r="AC487" s="43"/>
      <x:c r="AD487" s="43"/>
      <x:c r="AE487" s="43"/>
      <x:c r="AF487" s="43"/>
      <x:c r="AG487" s="67"/>
      <x:c r="AH487" s="43"/>
      <x:c r="AI487" s="43"/>
    </x:row>
    <x:row r="488">
      <x:c r="A488" s="43"/>
      <x:c r="B488" s="43"/>
      <x:c r="C488" s="43"/>
      <x:c r="D488" s="43" t="str">
        <x:f>IF(C488="","",YEAR(C488))</x:f>
      </x:c>
      <x:c r="E488" s="43" t="str">
        <x:f>IF(C488="","",MONTH(C488))</x:f>
      </x:c>
      <x:c r="F488" s="43" t="str">
        <x:f>IF(C488="","",WEEKNUM(C488,21))</x:f>
      </x:c>
      <x:c r="G488" s="43" t="str">
        <x:f>IF(C488="","",CHOOSE(WEEKDAY(C488,2),"Lundi","Mardi","Mercredi","Jeudi","Vendredi","Samedi","Dimanche"))</x:f>
      </x:c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  <x:c r="AA488" s="43"/>
      <x:c r="AB488" s="43"/>
      <x:c r="AC488" s="43"/>
      <x:c r="AD488" s="43"/>
      <x:c r="AE488" s="43"/>
      <x:c r="AF488" s="43"/>
      <x:c r="AG488" s="67"/>
      <x:c r="AH488" s="43"/>
      <x:c r="AI488" s="43"/>
    </x:row>
    <x:row r="489">
      <x:c r="A489" s="43"/>
      <x:c r="B489" s="43"/>
      <x:c r="C489" s="43"/>
      <x:c r="D489" s="43" t="str">
        <x:f>IF(C489="","",YEAR(C489))</x:f>
      </x:c>
      <x:c r="E489" s="43" t="str">
        <x:f>IF(C489="","",MONTH(C489))</x:f>
      </x:c>
      <x:c r="F489" s="43" t="str">
        <x:f>IF(C489="","",WEEKNUM(C489,21))</x:f>
      </x:c>
      <x:c r="G489" s="43" t="str">
        <x:f>IF(C489="","",CHOOSE(WEEKDAY(C489,2),"Lundi","Mardi","Mercredi","Jeudi","Vendredi","Samedi","Dimanche"))</x:f>
      </x:c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  <x:c r="AA489" s="43"/>
      <x:c r="AB489" s="43"/>
      <x:c r="AC489" s="43"/>
      <x:c r="AD489" s="43"/>
      <x:c r="AE489" s="43"/>
      <x:c r="AF489" s="43"/>
      <x:c r="AG489" s="67"/>
      <x:c r="AH489" s="43"/>
      <x:c r="AI489" s="43"/>
    </x:row>
    <x:row r="490">
      <x:c r="A490" s="43"/>
      <x:c r="B490" s="43"/>
      <x:c r="C490" s="43"/>
      <x:c r="D490" s="43" t="str">
        <x:f>IF(C490="","",YEAR(C490))</x:f>
      </x:c>
      <x:c r="E490" s="43" t="str">
        <x:f>IF(C490="","",MONTH(C490))</x:f>
      </x:c>
      <x:c r="F490" s="43" t="str">
        <x:f>IF(C490="","",WEEKNUM(C490,21))</x:f>
      </x:c>
      <x:c r="G490" s="43" t="str">
        <x:f>IF(C490="","",CHOOSE(WEEKDAY(C490,2),"Lundi","Mardi","Mercredi","Jeudi","Vendredi","Samedi","Dimanche"))</x:f>
      </x:c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  <x:c r="AA490" s="43"/>
      <x:c r="AB490" s="43"/>
      <x:c r="AC490" s="43"/>
      <x:c r="AD490" s="43"/>
      <x:c r="AE490" s="43"/>
      <x:c r="AF490" s="43"/>
      <x:c r="AG490" s="67"/>
      <x:c r="AH490" s="43"/>
      <x:c r="AI490" s="43"/>
    </x:row>
    <x:row r="491">
      <x:c r="A491" s="43"/>
      <x:c r="B491" s="43"/>
      <x:c r="C491" s="43"/>
      <x:c r="D491" s="43" t="str">
        <x:f>IF(C491="","",YEAR(C491))</x:f>
      </x:c>
      <x:c r="E491" s="43" t="str">
        <x:f>IF(C491="","",MONTH(C491))</x:f>
      </x:c>
      <x:c r="F491" s="43" t="str">
        <x:f>IF(C491="","",WEEKNUM(C491,21))</x:f>
      </x:c>
      <x:c r="G491" s="43" t="str">
        <x:f>IF(C491="","",CHOOSE(WEEKDAY(C491,2),"Lundi","Mardi","Mercredi","Jeudi","Vendredi","Samedi","Dimanche"))</x:f>
      </x:c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  <x:c r="AA491" s="43"/>
      <x:c r="AB491" s="43"/>
      <x:c r="AC491" s="43"/>
      <x:c r="AD491" s="43"/>
      <x:c r="AE491" s="43"/>
      <x:c r="AF491" s="43"/>
      <x:c r="AG491" s="67"/>
      <x:c r="AH491" s="43"/>
      <x:c r="AI491" s="43"/>
    </x:row>
    <x:row r="492">
      <x:c r="A492" s="43"/>
      <x:c r="B492" s="43"/>
      <x:c r="C492" s="43"/>
      <x:c r="D492" s="43" t="str">
        <x:f>IF(C492="","",YEAR(C492))</x:f>
      </x:c>
      <x:c r="E492" s="43" t="str">
        <x:f>IF(C492="","",MONTH(C492))</x:f>
      </x:c>
      <x:c r="F492" s="43" t="str">
        <x:f>IF(C492="","",WEEKNUM(C492,21))</x:f>
      </x:c>
      <x:c r="G492" s="43" t="str">
        <x:f>IF(C492="","",CHOOSE(WEEKDAY(C492,2),"Lundi","Mardi","Mercredi","Jeudi","Vendredi","Samedi","Dimanche"))</x:f>
      </x:c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  <x:c r="AA492" s="43"/>
      <x:c r="AB492" s="43"/>
      <x:c r="AC492" s="43"/>
      <x:c r="AD492" s="43"/>
      <x:c r="AE492" s="43"/>
      <x:c r="AF492" s="43"/>
      <x:c r="AG492" s="67"/>
      <x:c r="AH492" s="43"/>
      <x:c r="AI492" s="43"/>
    </x:row>
    <x:row r="493">
      <x:c r="A493" s="43"/>
      <x:c r="B493" s="43"/>
      <x:c r="C493" s="43"/>
      <x:c r="D493" s="43" t="str">
        <x:f>IF(C493="","",YEAR(C493))</x:f>
      </x:c>
      <x:c r="E493" s="43" t="str">
        <x:f>IF(C493="","",MONTH(C493))</x:f>
      </x:c>
      <x:c r="F493" s="43" t="str">
        <x:f>IF(C493="","",WEEKNUM(C493,21))</x:f>
      </x:c>
      <x:c r="G493" s="43" t="str">
        <x:f>IF(C493="","",CHOOSE(WEEKDAY(C493,2),"Lundi","Mardi","Mercredi","Jeudi","Vendredi","Samedi","Dimanche"))</x:f>
      </x:c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  <x:c r="AA493" s="43"/>
      <x:c r="AB493" s="43"/>
      <x:c r="AC493" s="43"/>
      <x:c r="AD493" s="43"/>
      <x:c r="AE493" s="43"/>
      <x:c r="AF493" s="43"/>
      <x:c r="AG493" s="67"/>
      <x:c r="AH493" s="43"/>
      <x:c r="AI493" s="43"/>
    </x:row>
    <x:row r="494">
      <x:c r="A494" s="43"/>
      <x:c r="B494" s="43"/>
      <x:c r="C494" s="43"/>
      <x:c r="D494" s="43" t="str">
        <x:f>IF(C494="","",YEAR(C494))</x:f>
      </x:c>
      <x:c r="E494" s="43" t="str">
        <x:f>IF(C494="","",MONTH(C494))</x:f>
      </x:c>
      <x:c r="F494" s="43" t="str">
        <x:f>IF(C494="","",WEEKNUM(C494,21))</x:f>
      </x:c>
      <x:c r="G494" s="43" t="str">
        <x:f>IF(C494="","",CHOOSE(WEEKDAY(C494,2),"Lundi","Mardi","Mercredi","Jeudi","Vendredi","Samedi","Dimanche"))</x:f>
      </x:c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  <x:c r="AA494" s="43"/>
      <x:c r="AB494" s="43"/>
      <x:c r="AC494" s="43"/>
      <x:c r="AD494" s="43"/>
      <x:c r="AE494" s="43"/>
      <x:c r="AF494" s="43"/>
      <x:c r="AG494" s="67"/>
      <x:c r="AH494" s="43"/>
      <x:c r="AI494" s="43"/>
    </x:row>
    <x:row r="495">
      <x:c r="A495" s="43"/>
      <x:c r="B495" s="43"/>
      <x:c r="C495" s="43"/>
      <x:c r="D495" s="43" t="str">
        <x:f>IF(C495="","",YEAR(C495))</x:f>
      </x:c>
      <x:c r="E495" s="43" t="str">
        <x:f>IF(C495="","",MONTH(C495))</x:f>
      </x:c>
      <x:c r="F495" s="43" t="str">
        <x:f>IF(C495="","",WEEKNUM(C495,21))</x:f>
      </x:c>
      <x:c r="G495" s="43" t="str">
        <x:f>IF(C495="","",CHOOSE(WEEKDAY(C495,2),"Lundi","Mardi","Mercredi","Jeudi","Vendredi","Samedi","Dimanche"))</x:f>
      </x:c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  <x:c r="AA495" s="43"/>
      <x:c r="AB495" s="43"/>
      <x:c r="AC495" s="43"/>
      <x:c r="AD495" s="43"/>
      <x:c r="AE495" s="43"/>
      <x:c r="AF495" s="43"/>
      <x:c r="AG495" s="67"/>
      <x:c r="AH495" s="43"/>
      <x:c r="AI495" s="43"/>
    </x:row>
    <x:row r="496">
      <x:c r="A496" s="43"/>
      <x:c r="B496" s="43"/>
      <x:c r="C496" s="43"/>
      <x:c r="D496" s="43" t="str">
        <x:f>IF(C496="","",YEAR(C496))</x:f>
      </x:c>
      <x:c r="E496" s="43" t="str">
        <x:f>IF(C496="","",MONTH(C496))</x:f>
      </x:c>
      <x:c r="F496" s="43" t="str">
        <x:f>IF(C496="","",WEEKNUM(C496,21))</x:f>
      </x:c>
      <x:c r="G496" s="43" t="str">
        <x:f>IF(C496="","",CHOOSE(WEEKDAY(C496,2),"Lundi","Mardi","Mercredi","Jeudi","Vendredi","Samedi","Dimanche"))</x:f>
      </x:c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  <x:c r="AA496" s="43"/>
      <x:c r="AB496" s="43"/>
      <x:c r="AC496" s="43"/>
      <x:c r="AD496" s="43"/>
      <x:c r="AE496" s="43"/>
      <x:c r="AF496" s="43"/>
      <x:c r="AG496" s="67"/>
      <x:c r="AH496" s="43"/>
      <x:c r="AI496" s="43"/>
    </x:row>
    <x:row r="497">
      <x:c r="A497" s="43"/>
      <x:c r="B497" s="43"/>
      <x:c r="C497" s="43"/>
      <x:c r="D497" s="43" t="str">
        <x:f>IF(C497="","",YEAR(C497))</x:f>
      </x:c>
      <x:c r="E497" s="43" t="str">
        <x:f>IF(C497="","",MONTH(C497))</x:f>
      </x:c>
      <x:c r="F497" s="43" t="str">
        <x:f>IF(C497="","",WEEKNUM(C497,21))</x:f>
      </x:c>
      <x:c r="G497" s="43" t="str">
        <x:f>IF(C497="","",CHOOSE(WEEKDAY(C497,2),"Lundi","Mardi","Mercredi","Jeudi","Vendredi","Samedi","Dimanche"))</x:f>
      </x:c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  <x:c r="AA497" s="43"/>
      <x:c r="AB497" s="43"/>
      <x:c r="AC497" s="43"/>
      <x:c r="AD497" s="43"/>
      <x:c r="AE497" s="43"/>
      <x:c r="AF497" s="43"/>
      <x:c r="AG497" s="67"/>
      <x:c r="AH497" s="43"/>
      <x:c r="AI497" s="43"/>
    </x:row>
    <x:row r="498">
      <x:c r="A498" s="43"/>
      <x:c r="B498" s="43"/>
      <x:c r="C498" s="43"/>
      <x:c r="D498" s="43" t="str">
        <x:f>IF(C498="","",YEAR(C498))</x:f>
      </x:c>
      <x:c r="E498" s="43" t="str">
        <x:f>IF(C498="","",MONTH(C498))</x:f>
      </x:c>
      <x:c r="F498" s="43" t="str">
        <x:f>IF(C498="","",WEEKNUM(C498,21))</x:f>
      </x:c>
      <x:c r="G498" s="43" t="str">
        <x:f>IF(C498="","",CHOOSE(WEEKDAY(C498,2),"Lundi","Mardi","Mercredi","Jeudi","Vendredi","Samedi","Dimanche"))</x:f>
      </x:c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  <x:c r="AA498" s="43"/>
      <x:c r="AB498" s="43"/>
      <x:c r="AC498" s="43"/>
      <x:c r="AD498" s="43"/>
      <x:c r="AE498" s="43"/>
      <x:c r="AF498" s="43"/>
      <x:c r="AG498" s="67"/>
      <x:c r="AH498" s="43"/>
      <x:c r="AI498" s="43"/>
    </x:row>
    <x:row r="499">
      <x:c r="A499" s="43"/>
      <x:c r="B499" s="43"/>
      <x:c r="C499" s="43"/>
      <x:c r="D499" s="43" t="str">
        <x:f>IF(C499="","",YEAR(C499))</x:f>
      </x:c>
      <x:c r="E499" s="43" t="str">
        <x:f>IF(C499="","",MONTH(C499))</x:f>
      </x:c>
      <x:c r="F499" s="43" t="str">
        <x:f>IF(C499="","",WEEKNUM(C499,21))</x:f>
      </x:c>
      <x:c r="G499" s="43" t="str">
        <x:f>IF(C499="","",CHOOSE(WEEKDAY(C499,2),"Lundi","Mardi","Mercredi","Jeudi","Vendredi","Samedi","Dimanche"))</x:f>
      </x:c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  <x:c r="AA499" s="43"/>
      <x:c r="AB499" s="43"/>
      <x:c r="AC499" s="43"/>
      <x:c r="AD499" s="43"/>
      <x:c r="AE499" s="43"/>
      <x:c r="AF499" s="43"/>
      <x:c r="AG499" s="67"/>
      <x:c r="AH499" s="43"/>
      <x:c r="AI499" s="43"/>
    </x:row>
    <x:row r="500">
      <x:c r="A500" s="43"/>
      <x:c r="B500" s="43"/>
      <x:c r="C500" s="43"/>
      <x:c r="D500" s="43" t="str">
        <x:f>IF(C500="","",YEAR(C500))</x:f>
      </x:c>
      <x:c r="E500" s="43" t="str">
        <x:f>IF(C500="","",MONTH(C500))</x:f>
      </x:c>
      <x:c r="F500" s="43" t="str">
        <x:f>IF(C500="","",WEEKNUM(C500,21))</x:f>
      </x:c>
      <x:c r="G500" s="43" t="str">
        <x:f>IF(C500="","",CHOOSE(WEEKDAY(C500,2),"Lundi","Mardi","Mercredi","Jeudi","Vendredi","Samedi","Dimanche"))</x:f>
      </x:c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  <x:c r="AA500" s="43"/>
      <x:c r="AB500" s="43"/>
      <x:c r="AC500" s="43"/>
      <x:c r="AD500" s="43"/>
      <x:c r="AE500" s="43"/>
      <x:c r="AF500" s="43"/>
      <x:c r="AG500" s="67"/>
      <x:c r="AH500" s="43"/>
      <x:c r="AI500" s="43"/>
    </x:row>
    <x:row r="501">
      <x:c r="A501" s="43"/>
      <x:c r="B501" s="43"/>
      <x:c r="C501" s="43"/>
      <x:c r="D501" s="43" t="str">
        <x:f>IF(C501="","",YEAR(C501))</x:f>
      </x:c>
      <x:c r="E501" s="43" t="str">
        <x:f>IF(C501="","",MONTH(C501))</x:f>
      </x:c>
      <x:c r="F501" s="43" t="str">
        <x:f>IF(C501="","",WEEKNUM(C501,21))</x:f>
      </x:c>
      <x:c r="G501" s="43" t="str">
        <x:f>IF(C501="","",CHOOSE(WEEKDAY(C501,2),"Lundi","Mardi","Mercredi","Jeudi","Vendredi","Samedi","Dimanche"))</x:f>
      </x:c>
      <x:c r="H501" s="43"/>
      <x:c r="I501" s="43"/>
      <x:c r="J501" s="43"/>
      <x:c r="K501" s="43"/>
      <x:c r="L501" s="43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  <x:c r="AA501" s="43"/>
      <x:c r="AB501" s="43"/>
      <x:c r="AC501" s="43"/>
      <x:c r="AD501" s="43"/>
      <x:c r="AE501" s="43"/>
      <x:c r="AF501" s="43"/>
      <x:c r="AG501" s="67"/>
      <x:c r="AH501" s="43"/>
      <x:c r="AI501" s="43"/>
    </x:row>
    <x:row r="502">
      <x:c r="A502" s="43"/>
      <x:c r="B502" s="43"/>
      <x:c r="C502" s="43"/>
      <x:c r="D502" s="43" t="str">
        <x:f>IF(C502="","",YEAR(C502))</x:f>
      </x:c>
      <x:c r="E502" s="43" t="str">
        <x:f>IF(C502="","",MONTH(C502))</x:f>
      </x:c>
      <x:c r="F502" s="43" t="str">
        <x:f>IF(C502="","",WEEKNUM(C502,21))</x:f>
      </x:c>
      <x:c r="G502" s="43" t="str">
        <x:f>IF(C502="","",CHOOSE(WEEKDAY(C502,2),"Lundi","Mardi","Mercredi","Jeudi","Vendredi","Samedi","Dimanche"))</x:f>
      </x:c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  <x:c r="AA502" s="43"/>
      <x:c r="AB502" s="43"/>
      <x:c r="AC502" s="43"/>
      <x:c r="AD502" s="43"/>
      <x:c r="AE502" s="43"/>
      <x:c r="AF502" s="43"/>
      <x:c r="AG502" s="67"/>
      <x:c r="AH502" s="43"/>
      <x:c r="AI502" s="43"/>
    </x:row>
    <x:row r="503">
      <x:c r="A503" s="43"/>
      <x:c r="B503" s="43"/>
      <x:c r="C503" s="43"/>
      <x:c r="D503" s="43" t="str">
        <x:f>IF(C503="","",YEAR(C503))</x:f>
      </x:c>
      <x:c r="E503" s="43" t="str">
        <x:f>IF(C503="","",MONTH(C503))</x:f>
      </x:c>
      <x:c r="F503" s="43" t="str">
        <x:f>IF(C503="","",WEEKNUM(C503,21))</x:f>
      </x:c>
      <x:c r="G503" s="43" t="str">
        <x:f>IF(C503="","",CHOOSE(WEEKDAY(C503,2),"Lundi","Mardi","Mercredi","Jeudi","Vendredi","Samedi","Dimanche"))</x:f>
      </x:c>
      <x:c r="H503" s="43"/>
      <x:c r="I503" s="43"/>
      <x:c r="J503" s="43"/>
      <x:c r="K503" s="43"/>
      <x:c r="L503" s="43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  <x:c r="AA503" s="43"/>
      <x:c r="AB503" s="43"/>
      <x:c r="AC503" s="43"/>
      <x:c r="AD503" s="43"/>
      <x:c r="AE503" s="43"/>
      <x:c r="AF503" s="43"/>
      <x:c r="AG503" s="67"/>
      <x:c r="AH503" s="43"/>
      <x:c r="AI503" s="43"/>
    </x:row>
    <x:row r="504">
      <x:c r="A504" s="43"/>
      <x:c r="B504" s="43"/>
      <x:c r="C504" s="43"/>
      <x:c r="D504" s="43" t="str">
        <x:f>IF(C504="","",YEAR(C504))</x:f>
      </x:c>
      <x:c r="E504" s="43" t="str">
        <x:f>IF(C504="","",MONTH(C504))</x:f>
      </x:c>
      <x:c r="F504" s="43" t="str">
        <x:f>IF(C504="","",WEEKNUM(C504,21))</x:f>
      </x:c>
      <x:c r="G504" s="43" t="str">
        <x:f>IF(C504="","",CHOOSE(WEEKDAY(C504,2),"Lundi","Mardi","Mercredi","Jeudi","Vendredi","Samedi","Dimanche"))</x:f>
      </x:c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  <x:c r="AA504" s="43"/>
      <x:c r="AB504" s="43"/>
      <x:c r="AC504" s="43"/>
      <x:c r="AD504" s="43"/>
      <x:c r="AE504" s="43"/>
      <x:c r="AF504" s="43"/>
      <x:c r="AG504" s="67"/>
      <x:c r="AH504" s="43"/>
      <x:c r="AI504" s="43"/>
    </x:row>
    <x:row r="505">
      <x:c r="A505" s="43"/>
      <x:c r="B505" s="43"/>
      <x:c r="C505" s="43"/>
      <x:c r="D505" s="43" t="str">
        <x:f>IF(C505="","",YEAR(C505))</x:f>
      </x:c>
      <x:c r="E505" s="43" t="str">
        <x:f>IF(C505="","",MONTH(C505))</x:f>
      </x:c>
      <x:c r="F505" s="43" t="str">
        <x:f>IF(C505="","",WEEKNUM(C505,21))</x:f>
      </x:c>
      <x:c r="G505" s="43" t="str">
        <x:f>IF(C505="","",CHOOSE(WEEKDAY(C505,2),"Lundi","Mardi","Mercredi","Jeudi","Vendredi","Samedi","Dimanche"))</x:f>
      </x:c>
      <x:c r="H505" s="43"/>
      <x:c r="I505" s="43"/>
      <x:c r="J505" s="43"/>
      <x:c r="K505" s="43"/>
      <x:c r="L505" s="43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  <x:c r="AA505" s="43"/>
      <x:c r="AB505" s="43"/>
      <x:c r="AC505" s="43"/>
      <x:c r="AD505" s="43"/>
      <x:c r="AE505" s="43"/>
      <x:c r="AF505" s="43"/>
      <x:c r="AG505" s="67"/>
      <x:c r="AH505" s="43"/>
      <x:c r="AI505" s="43"/>
    </x:row>
    <x:row r="506">
      <x:c r="A506" s="43"/>
      <x:c r="B506" s="43"/>
      <x:c r="C506" s="43"/>
      <x:c r="D506" s="43" t="str">
        <x:f>IF(C506="","",YEAR(C506))</x:f>
      </x:c>
      <x:c r="E506" s="43" t="str">
        <x:f>IF(C506="","",MONTH(C506))</x:f>
      </x:c>
      <x:c r="F506" s="43" t="str">
        <x:f>IF(C506="","",WEEKNUM(C506,21))</x:f>
      </x:c>
      <x:c r="G506" s="43" t="str">
        <x:f>IF(C506="","",CHOOSE(WEEKDAY(C506,2),"Lundi","Mardi","Mercredi","Jeudi","Vendredi","Samedi","Dimanche"))</x:f>
      </x:c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  <x:c r="AA506" s="43"/>
      <x:c r="AB506" s="43"/>
      <x:c r="AC506" s="43"/>
      <x:c r="AD506" s="43"/>
      <x:c r="AE506" s="43"/>
      <x:c r="AF506" s="43"/>
      <x:c r="AG506" s="67"/>
      <x:c r="AH506" s="43"/>
      <x:c r="AI506" s="43"/>
    </x:row>
    <x:row r="507">
      <x:c r="A507" s="43"/>
      <x:c r="B507" s="43"/>
      <x:c r="C507" s="43"/>
      <x:c r="D507" s="43" t="str">
        <x:f>IF(C507="","",YEAR(C507))</x:f>
      </x:c>
      <x:c r="E507" s="43" t="str">
        <x:f>IF(C507="","",MONTH(C507))</x:f>
      </x:c>
      <x:c r="F507" s="43" t="str">
        <x:f>IF(C507="","",WEEKNUM(C507,21))</x:f>
      </x:c>
      <x:c r="G507" s="43" t="str">
        <x:f>IF(C507="","",CHOOSE(WEEKDAY(C507,2),"Lundi","Mardi","Mercredi","Jeudi","Vendredi","Samedi","Dimanche"))</x:f>
      </x:c>
      <x:c r="H507" s="43"/>
      <x:c r="I507" s="43"/>
      <x:c r="J507" s="43"/>
      <x:c r="K507" s="43"/>
      <x:c r="L507" s="43"/>
      <x:c r="M507" s="43"/>
      <x:c r="N507" s="43"/>
      <x:c r="O507" s="43"/>
      <x:c r="P507" s="43"/>
      <x:c r="Q507" s="43"/>
      <x:c r="R507" s="43"/>
      <x:c r="S507" s="43"/>
      <x:c r="T507" s="43"/>
      <x:c r="U507" s="43"/>
      <x:c r="V507" s="43"/>
      <x:c r="W507" s="43"/>
      <x:c r="X507" s="43"/>
      <x:c r="Y507" s="43"/>
      <x:c r="Z507" s="43"/>
      <x:c r="AA507" s="43"/>
      <x:c r="AB507" s="43"/>
      <x:c r="AC507" s="43"/>
      <x:c r="AD507" s="43"/>
      <x:c r="AE507" s="43"/>
      <x:c r="AF507" s="43"/>
      <x:c r="AG507" s="67"/>
      <x:c r="AH507" s="43"/>
      <x:c r="AI507" s="43"/>
    </x:row>
    <x:row r="508">
      <x:c r="A508" s="43"/>
      <x:c r="B508" s="43"/>
      <x:c r="C508" s="43"/>
      <x:c r="D508" s="43" t="str">
        <x:f>IF(C508="","",YEAR(C508))</x:f>
      </x:c>
      <x:c r="E508" s="43" t="str">
        <x:f>IF(C508="","",MONTH(C508))</x:f>
      </x:c>
      <x:c r="F508" s="43" t="str">
        <x:f>IF(C508="","",WEEKNUM(C508,21))</x:f>
      </x:c>
      <x:c r="G508" s="43" t="str">
        <x:f>IF(C508="","",CHOOSE(WEEKDAY(C508,2),"Lundi","Mardi","Mercredi","Jeudi","Vendredi","Samedi","Dimanche"))</x:f>
      </x:c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  <x:c r="AA508" s="43"/>
      <x:c r="AB508" s="43"/>
      <x:c r="AC508" s="43"/>
      <x:c r="AD508" s="43"/>
      <x:c r="AE508" s="43"/>
      <x:c r="AF508" s="43"/>
      <x:c r="AG508" s="67"/>
      <x:c r="AH508" s="43"/>
      <x:c r="AI508" s="43"/>
    </x:row>
    <x:row r="509">
      <x:c r="A509" s="43"/>
      <x:c r="B509" s="43"/>
      <x:c r="C509" s="43"/>
      <x:c r="D509" s="43" t="str">
        <x:f>IF(C509="","",YEAR(C509))</x:f>
      </x:c>
      <x:c r="E509" s="43" t="str">
        <x:f>IF(C509="","",MONTH(C509))</x:f>
      </x:c>
      <x:c r="F509" s="43" t="str">
        <x:f>IF(C509="","",WEEKNUM(C509,21))</x:f>
      </x:c>
      <x:c r="G509" s="43" t="str">
        <x:f>IF(C509="","",CHOOSE(WEEKDAY(C509,2),"Lundi","Mardi","Mercredi","Jeudi","Vendredi","Samedi","Dimanche"))</x:f>
      </x:c>
      <x:c r="H509" s="43"/>
      <x:c r="I509" s="43"/>
      <x:c r="J509" s="43"/>
      <x:c r="K509" s="43"/>
      <x:c r="L509" s="43"/>
      <x:c r="M509" s="43"/>
      <x:c r="N509" s="43"/>
      <x:c r="O509" s="43"/>
      <x:c r="P509" s="43"/>
      <x:c r="Q509" s="43"/>
      <x:c r="R509" s="43"/>
      <x:c r="S509" s="43"/>
      <x:c r="T509" s="43"/>
      <x:c r="U509" s="43"/>
      <x:c r="V509" s="43"/>
      <x:c r="W509" s="43"/>
      <x:c r="X509" s="43"/>
      <x:c r="Y509" s="43"/>
      <x:c r="Z509" s="43"/>
      <x:c r="AA509" s="43"/>
      <x:c r="AB509" s="43"/>
      <x:c r="AC509" s="43"/>
      <x:c r="AD509" s="43"/>
      <x:c r="AE509" s="43"/>
      <x:c r="AF509" s="43"/>
      <x:c r="AG509" s="67"/>
      <x:c r="AH509" s="43"/>
      <x:c r="AI509" s="43"/>
    </x:row>
    <x:row r="510">
      <x:c r="A510" s="43"/>
      <x:c r="B510" s="43"/>
      <x:c r="C510" s="43"/>
      <x:c r="D510" s="43" t="str">
        <x:f>IF(C510="","",YEAR(C510))</x:f>
      </x:c>
      <x:c r="E510" s="43" t="str">
        <x:f>IF(C510="","",MONTH(C510))</x:f>
      </x:c>
      <x:c r="F510" s="43" t="str">
        <x:f>IF(C510="","",WEEKNUM(C510,21))</x:f>
      </x:c>
      <x:c r="G510" s="43" t="str">
        <x:f>IF(C510="","",CHOOSE(WEEKDAY(C510,2),"Lundi","Mardi","Mercredi","Jeudi","Vendredi","Samedi","Dimanche"))</x:f>
      </x:c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  <x:c r="AA510" s="43"/>
      <x:c r="AB510" s="43"/>
      <x:c r="AC510" s="43"/>
      <x:c r="AD510" s="43"/>
      <x:c r="AE510" s="43"/>
      <x:c r="AF510" s="43"/>
      <x:c r="AG510" s="67"/>
      <x:c r="AH510" s="43"/>
      <x:c r="AI510" s="43"/>
    </x:row>
    <x:row r="511">
      <x:c r="A511" s="43"/>
      <x:c r="B511" s="43"/>
      <x:c r="C511" s="43"/>
      <x:c r="D511" s="43" t="str">
        <x:f>IF(C511="","",YEAR(C511))</x:f>
      </x:c>
      <x:c r="E511" s="43" t="str">
        <x:f>IF(C511="","",MONTH(C511))</x:f>
      </x:c>
      <x:c r="F511" s="43" t="str">
        <x:f>IF(C511="","",WEEKNUM(C511,21))</x:f>
      </x:c>
      <x:c r="G511" s="43" t="str">
        <x:f>IF(C511="","",CHOOSE(WEEKDAY(C511,2),"Lundi","Mardi","Mercredi","Jeudi","Vendredi","Samedi","Dimanche"))</x:f>
      </x:c>
      <x:c r="H511" s="43"/>
      <x:c r="I511" s="43"/>
      <x:c r="J511" s="43"/>
      <x:c r="K511" s="43"/>
      <x:c r="L511" s="43"/>
      <x:c r="M511" s="43"/>
      <x:c r="N511" s="43"/>
      <x:c r="O511" s="43"/>
      <x:c r="P511" s="43"/>
      <x:c r="Q511" s="43"/>
      <x:c r="R511" s="43"/>
      <x:c r="S511" s="43"/>
      <x:c r="T511" s="43"/>
      <x:c r="U511" s="43"/>
      <x:c r="V511" s="43"/>
      <x:c r="W511" s="43"/>
      <x:c r="X511" s="43"/>
      <x:c r="Y511" s="43"/>
      <x:c r="Z511" s="43"/>
      <x:c r="AA511" s="43"/>
      <x:c r="AB511" s="43"/>
      <x:c r="AC511" s="43"/>
      <x:c r="AD511" s="43"/>
      <x:c r="AE511" s="43"/>
      <x:c r="AF511" s="43"/>
      <x:c r="AG511" s="67"/>
      <x:c r="AH511" s="43"/>
      <x:c r="AI511" s="43"/>
    </x:row>
    <x:row r="512">
      <x:c r="A512" s="43"/>
      <x:c r="B512" s="43"/>
      <x:c r="C512" s="43"/>
      <x:c r="D512" s="43" t="str">
        <x:f>IF(C512="","",YEAR(C512))</x:f>
      </x:c>
      <x:c r="E512" s="43" t="str">
        <x:f>IF(C512="","",MONTH(C512))</x:f>
      </x:c>
      <x:c r="F512" s="43" t="str">
        <x:f>IF(C512="","",WEEKNUM(C512,21))</x:f>
      </x:c>
      <x:c r="G512" s="43" t="str">
        <x:f>IF(C512="","",CHOOSE(WEEKDAY(C512,2),"Lundi","Mardi","Mercredi","Jeudi","Vendredi","Samedi","Dimanche"))</x:f>
      </x:c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  <x:c r="AA512" s="43"/>
      <x:c r="AB512" s="43"/>
      <x:c r="AC512" s="43"/>
      <x:c r="AD512" s="43"/>
      <x:c r="AE512" s="43"/>
      <x:c r="AF512" s="43"/>
      <x:c r="AG512" s="67"/>
      <x:c r="AH512" s="43"/>
      <x:c r="AI512" s="43"/>
    </x:row>
    <x:row r="513">
      <x:c r="A513" s="43"/>
      <x:c r="B513" s="43"/>
      <x:c r="C513" s="43"/>
      <x:c r="D513" s="43" t="str">
        <x:f>IF(C513="","",YEAR(C513))</x:f>
      </x:c>
      <x:c r="E513" s="43" t="str">
        <x:f>IF(C513="","",MONTH(C513))</x:f>
      </x:c>
      <x:c r="F513" s="43" t="str">
        <x:f>IF(C513="","",WEEKNUM(C513,21))</x:f>
      </x:c>
      <x:c r="G513" s="43" t="str">
        <x:f>IF(C513="","",CHOOSE(WEEKDAY(C513,2),"Lundi","Mardi","Mercredi","Jeudi","Vendredi","Samedi","Dimanche"))</x:f>
      </x:c>
      <x:c r="H513" s="43"/>
      <x:c r="I513" s="43"/>
      <x:c r="J513" s="43"/>
      <x:c r="K513" s="43"/>
      <x:c r="L513" s="43"/>
      <x:c r="M513" s="43"/>
      <x:c r="N513" s="43"/>
      <x:c r="O513" s="43"/>
      <x:c r="P513" s="43"/>
      <x:c r="Q513" s="43"/>
      <x:c r="R513" s="43"/>
      <x:c r="S513" s="43"/>
      <x:c r="T513" s="43"/>
      <x:c r="U513" s="43"/>
      <x:c r="V513" s="43"/>
      <x:c r="W513" s="43"/>
      <x:c r="X513" s="43"/>
      <x:c r="Y513" s="43"/>
      <x:c r="Z513" s="43"/>
      <x:c r="AA513" s="43"/>
      <x:c r="AB513" s="43"/>
      <x:c r="AC513" s="43"/>
      <x:c r="AD513" s="43"/>
      <x:c r="AE513" s="43"/>
      <x:c r="AF513" s="43"/>
      <x:c r="AG513" s="67"/>
      <x:c r="AH513" s="43"/>
      <x:c r="AI513" s="43"/>
    </x:row>
    <x:row r="514">
      <x:c r="A514" s="43"/>
      <x:c r="B514" s="43"/>
      <x:c r="C514" s="43"/>
      <x:c r="D514" s="43" t="str">
        <x:f>IF(C514="","",YEAR(C514))</x:f>
      </x:c>
      <x:c r="E514" s="43" t="str">
        <x:f>IF(C514="","",MONTH(C514))</x:f>
      </x:c>
      <x:c r="F514" s="43" t="str">
        <x:f>IF(C514="","",WEEKNUM(C514,21))</x:f>
      </x:c>
      <x:c r="G514" s="43" t="str">
        <x:f>IF(C514="","",CHOOSE(WEEKDAY(C514,2),"Lundi","Mardi","Mercredi","Jeudi","Vendredi","Samedi","Dimanche"))</x:f>
      </x:c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  <x:c r="AA514" s="43"/>
      <x:c r="AB514" s="43"/>
      <x:c r="AC514" s="43"/>
      <x:c r="AD514" s="43"/>
      <x:c r="AE514" s="43"/>
      <x:c r="AF514" s="43"/>
      <x:c r="AG514" s="67"/>
      <x:c r="AH514" s="43"/>
      <x:c r="AI514" s="43"/>
    </x:row>
    <x:row r="515">
      <x:c r="A515" s="43"/>
      <x:c r="B515" s="43"/>
      <x:c r="C515" s="43"/>
      <x:c r="D515" s="43" t="str">
        <x:f>IF(C515="","",YEAR(C515))</x:f>
      </x:c>
      <x:c r="E515" s="43" t="str">
        <x:f>IF(C515="","",MONTH(C515))</x:f>
      </x:c>
      <x:c r="F515" s="43" t="str">
        <x:f>IF(C515="","",WEEKNUM(C515,21))</x:f>
      </x:c>
      <x:c r="G515" s="43" t="str">
        <x:f>IF(C515="","",CHOOSE(WEEKDAY(C515,2),"Lundi","Mardi","Mercredi","Jeudi","Vendredi","Samedi","Dimanche"))</x:f>
      </x:c>
      <x:c r="H515" s="43"/>
      <x:c r="I515" s="43"/>
      <x:c r="J515" s="43"/>
      <x:c r="K515" s="43"/>
      <x:c r="L515" s="43"/>
      <x:c r="M515" s="43"/>
      <x:c r="N515" s="43"/>
      <x:c r="O515" s="43"/>
      <x:c r="P515" s="43"/>
      <x:c r="Q515" s="43"/>
      <x:c r="R515" s="43"/>
      <x:c r="S515" s="43"/>
      <x:c r="T515" s="43"/>
      <x:c r="U515" s="43"/>
      <x:c r="V515" s="43"/>
      <x:c r="W515" s="43"/>
      <x:c r="X515" s="43"/>
      <x:c r="Y515" s="43"/>
      <x:c r="Z515" s="43"/>
      <x:c r="AA515" s="43"/>
      <x:c r="AB515" s="43"/>
      <x:c r="AC515" s="43"/>
      <x:c r="AD515" s="43"/>
      <x:c r="AE515" s="43"/>
      <x:c r="AF515" s="43"/>
      <x:c r="AG515" s="67"/>
      <x:c r="AH515" s="43"/>
      <x:c r="AI515" s="43"/>
    </x:row>
    <x:row r="516">
      <x:c r="A516" s="43"/>
      <x:c r="B516" s="43"/>
      <x:c r="C516" s="43"/>
      <x:c r="D516" s="43" t="str">
        <x:f>IF(C516="","",YEAR(C516))</x:f>
      </x:c>
      <x:c r="E516" s="43" t="str">
        <x:f>IF(C516="","",MONTH(C516))</x:f>
      </x:c>
      <x:c r="F516" s="43" t="str">
        <x:f>IF(C516="","",WEEKNUM(C516,21))</x:f>
      </x:c>
      <x:c r="G516" s="43" t="str">
        <x:f>IF(C516="","",CHOOSE(WEEKDAY(C516,2),"Lundi","Mardi","Mercredi","Jeudi","Vendredi","Samedi","Dimanche"))</x:f>
      </x:c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  <x:c r="AA516" s="43"/>
      <x:c r="AB516" s="43"/>
      <x:c r="AC516" s="43"/>
      <x:c r="AD516" s="43"/>
      <x:c r="AE516" s="43"/>
      <x:c r="AF516" s="43"/>
      <x:c r="AG516" s="67"/>
      <x:c r="AH516" s="43"/>
      <x:c r="AI516" s="43"/>
    </x:row>
    <x:row r="517">
      <x:c r="A517" s="43"/>
      <x:c r="B517" s="43"/>
      <x:c r="C517" s="43"/>
      <x:c r="D517" s="43" t="str">
        <x:f>IF(C517="","",YEAR(C517))</x:f>
      </x:c>
      <x:c r="E517" s="43" t="str">
        <x:f>IF(C517="","",MONTH(C517))</x:f>
      </x:c>
      <x:c r="F517" s="43" t="str">
        <x:f>IF(C517="","",WEEKNUM(C517,21))</x:f>
      </x:c>
      <x:c r="G517" s="43" t="str">
        <x:f>IF(C517="","",CHOOSE(WEEKDAY(C517,2),"Lundi","Mardi","Mercredi","Jeudi","Vendredi","Samedi","Dimanche"))</x:f>
      </x:c>
      <x:c r="H517" s="43"/>
      <x:c r="I517" s="43"/>
      <x:c r="J517" s="43"/>
      <x:c r="K517" s="43"/>
      <x:c r="L517" s="43"/>
      <x:c r="M517" s="43"/>
      <x:c r="N517" s="43"/>
      <x:c r="O517" s="43"/>
      <x:c r="P517" s="43"/>
      <x:c r="Q517" s="43"/>
      <x:c r="R517" s="43"/>
      <x:c r="S517" s="43"/>
      <x:c r="T517" s="43"/>
      <x:c r="U517" s="43"/>
      <x:c r="V517" s="43"/>
      <x:c r="W517" s="43"/>
      <x:c r="X517" s="43"/>
      <x:c r="Y517" s="43"/>
      <x:c r="Z517" s="43"/>
      <x:c r="AA517" s="43"/>
      <x:c r="AB517" s="43"/>
      <x:c r="AC517" s="43"/>
      <x:c r="AD517" s="43"/>
      <x:c r="AE517" s="43"/>
      <x:c r="AF517" s="43"/>
      <x:c r="AG517" s="67"/>
      <x:c r="AH517" s="43"/>
      <x:c r="AI517" s="43"/>
    </x:row>
    <x:row r="518">
      <x:c r="A518" s="43"/>
      <x:c r="B518" s="43"/>
      <x:c r="C518" s="43"/>
      <x:c r="D518" s="43" t="str">
        <x:f>IF(C518="","",YEAR(C518))</x:f>
      </x:c>
      <x:c r="E518" s="43" t="str">
        <x:f>IF(C518="","",MONTH(C518))</x:f>
      </x:c>
      <x:c r="F518" s="43" t="str">
        <x:f>IF(C518="","",WEEKNUM(C518,21))</x:f>
      </x:c>
      <x:c r="G518" s="43" t="str">
        <x:f>IF(C518="","",CHOOSE(WEEKDAY(C518,2),"Lundi","Mardi","Mercredi","Jeudi","Vendredi","Samedi","Dimanche"))</x:f>
      </x:c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  <x:c r="AA518" s="43"/>
      <x:c r="AB518" s="43"/>
      <x:c r="AC518" s="43"/>
      <x:c r="AD518" s="43"/>
      <x:c r="AE518" s="43"/>
      <x:c r="AF518" s="43"/>
      <x:c r="AG518" s="67"/>
      <x:c r="AH518" s="43"/>
      <x:c r="AI518" s="43"/>
    </x:row>
    <x:row r="519">
      <x:c r="A519" s="43"/>
      <x:c r="B519" s="43"/>
      <x:c r="C519" s="43"/>
      <x:c r="D519" s="43" t="str">
        <x:f>IF(C519="","",YEAR(C519))</x:f>
      </x:c>
      <x:c r="E519" s="43" t="str">
        <x:f>IF(C519="","",MONTH(C519))</x:f>
      </x:c>
      <x:c r="F519" s="43" t="str">
        <x:f>IF(C519="","",WEEKNUM(C519,21))</x:f>
      </x:c>
      <x:c r="G519" s="43" t="str">
        <x:f>IF(C519="","",CHOOSE(WEEKDAY(C519,2),"Lundi","Mardi","Mercredi","Jeudi","Vendredi","Samedi","Dimanche"))</x:f>
      </x:c>
      <x:c r="H519" s="43"/>
      <x:c r="I519" s="43"/>
      <x:c r="J519" s="43"/>
      <x:c r="K519" s="43"/>
      <x:c r="L519" s="43"/>
      <x:c r="M519" s="43"/>
      <x:c r="N519" s="43"/>
      <x:c r="O519" s="43"/>
      <x:c r="P519" s="43"/>
      <x:c r="Q519" s="43"/>
      <x:c r="R519" s="43"/>
      <x:c r="S519" s="43"/>
      <x:c r="T519" s="43"/>
      <x:c r="U519" s="43"/>
      <x:c r="V519" s="43"/>
      <x:c r="W519" s="43"/>
      <x:c r="X519" s="43"/>
      <x:c r="Y519" s="43"/>
      <x:c r="Z519" s="43"/>
      <x:c r="AA519" s="43"/>
      <x:c r="AB519" s="43"/>
      <x:c r="AC519" s="43"/>
      <x:c r="AD519" s="43"/>
      <x:c r="AE519" s="43"/>
      <x:c r="AF519" s="43"/>
      <x:c r="AG519" s="67"/>
      <x:c r="AH519" s="43"/>
      <x:c r="AI519" s="43"/>
    </x:row>
    <x:row r="520">
      <x:c r="A520" s="43"/>
      <x:c r="B520" s="43"/>
      <x:c r="C520" s="43"/>
      <x:c r="D520" s="43" t="str">
        <x:f>IF(C520="","",YEAR(C520))</x:f>
      </x:c>
      <x:c r="E520" s="43" t="str">
        <x:f>IF(C520="","",MONTH(C520))</x:f>
      </x:c>
      <x:c r="F520" s="43" t="str">
        <x:f>IF(C520="","",WEEKNUM(C520,21))</x:f>
      </x:c>
      <x:c r="G520" s="43" t="str">
        <x:f>IF(C520="","",CHOOSE(WEEKDAY(C520,2),"Lundi","Mardi","Mercredi","Jeudi","Vendredi","Samedi","Dimanche"))</x:f>
      </x:c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  <x:c r="AA520" s="43"/>
      <x:c r="AB520" s="43"/>
      <x:c r="AC520" s="43"/>
      <x:c r="AD520" s="43"/>
      <x:c r="AE520" s="43"/>
      <x:c r="AF520" s="43"/>
      <x:c r="AG520" s="67"/>
      <x:c r="AH520" s="43"/>
      <x:c r="AI520" s="43"/>
    </x:row>
    <x:row r="521">
      <x:c r="A521" s="43"/>
      <x:c r="B521" s="43"/>
      <x:c r="C521" s="43"/>
      <x:c r="D521" s="43" t="str">
        <x:f>IF(C521="","",YEAR(C521))</x:f>
      </x:c>
      <x:c r="E521" s="43" t="str">
        <x:f>IF(C521="","",MONTH(C521))</x:f>
      </x:c>
      <x:c r="F521" s="43" t="str">
        <x:f>IF(C521="","",WEEKNUM(C521,21))</x:f>
      </x:c>
      <x:c r="G521" s="43" t="str">
        <x:f>IF(C521="","",CHOOSE(WEEKDAY(C521,2),"Lundi","Mardi","Mercredi","Jeudi","Vendredi","Samedi","Dimanche"))</x:f>
      </x:c>
      <x:c r="H521" s="43"/>
      <x:c r="I521" s="43"/>
      <x:c r="J521" s="43"/>
      <x:c r="K521" s="43"/>
      <x:c r="L521" s="43"/>
      <x:c r="M521" s="43"/>
      <x:c r="N521" s="43"/>
      <x:c r="O521" s="43"/>
      <x:c r="P521" s="43"/>
      <x:c r="Q521" s="43"/>
      <x:c r="R521" s="43"/>
      <x:c r="S521" s="43"/>
      <x:c r="T521" s="43"/>
      <x:c r="U521" s="43"/>
      <x:c r="V521" s="43"/>
      <x:c r="W521" s="43"/>
      <x:c r="X521" s="43"/>
      <x:c r="Y521" s="43"/>
      <x:c r="Z521" s="43"/>
      <x:c r="AA521" s="43"/>
      <x:c r="AB521" s="43"/>
      <x:c r="AC521" s="43"/>
      <x:c r="AD521" s="43"/>
      <x:c r="AE521" s="43"/>
      <x:c r="AF521" s="43"/>
      <x:c r="AG521" s="67"/>
      <x:c r="AH521" s="43"/>
      <x:c r="AI521" s="43"/>
    </x:row>
    <x:row r="522">
      <x:c r="A522" s="43"/>
      <x:c r="B522" s="43"/>
      <x:c r="C522" s="43"/>
      <x:c r="D522" s="43" t="str">
        <x:f>IF(C522="","",YEAR(C522))</x:f>
      </x:c>
      <x:c r="E522" s="43" t="str">
        <x:f>IF(C522="","",MONTH(C522))</x:f>
      </x:c>
      <x:c r="F522" s="43" t="str">
        <x:f>IF(C522="","",WEEKNUM(C522,21))</x:f>
      </x:c>
      <x:c r="G522" s="43" t="str">
        <x:f>IF(C522="","",CHOOSE(WEEKDAY(C522,2),"Lundi","Mardi","Mercredi","Jeudi","Vendredi","Samedi","Dimanche"))</x:f>
      </x:c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  <x:c r="AA522" s="43"/>
      <x:c r="AB522" s="43"/>
      <x:c r="AC522" s="43"/>
      <x:c r="AD522" s="43"/>
      <x:c r="AE522" s="43"/>
      <x:c r="AF522" s="43"/>
      <x:c r="AG522" s="67"/>
      <x:c r="AH522" s="43"/>
      <x:c r="AI522" s="43"/>
    </x:row>
    <x:row r="523">
      <x:c r="A523" s="43"/>
      <x:c r="B523" s="43"/>
      <x:c r="C523" s="43"/>
      <x:c r="D523" s="43" t="str">
        <x:f>IF(C523="","",YEAR(C523))</x:f>
      </x:c>
      <x:c r="E523" s="43" t="str">
        <x:f>IF(C523="","",MONTH(C523))</x:f>
      </x:c>
      <x:c r="F523" s="43" t="str">
        <x:f>IF(C523="","",WEEKNUM(C523,21))</x:f>
      </x:c>
      <x:c r="G523" s="43" t="str">
        <x:f>IF(C523="","",CHOOSE(WEEKDAY(C523,2),"Lundi","Mardi","Mercredi","Jeudi","Vendredi","Samedi","Dimanche"))</x:f>
      </x:c>
      <x:c r="H523" s="43"/>
      <x:c r="I523" s="43"/>
      <x:c r="J523" s="43"/>
      <x:c r="K523" s="43"/>
      <x:c r="L523" s="43"/>
      <x:c r="M523" s="43"/>
      <x:c r="N523" s="43"/>
      <x:c r="O523" s="43"/>
      <x:c r="P523" s="43"/>
      <x:c r="Q523" s="43"/>
      <x:c r="R523" s="43"/>
      <x:c r="S523" s="43"/>
      <x:c r="T523" s="43"/>
      <x:c r="U523" s="43"/>
      <x:c r="V523" s="43"/>
      <x:c r="W523" s="43"/>
      <x:c r="X523" s="43"/>
      <x:c r="Y523" s="43"/>
      <x:c r="Z523" s="43"/>
      <x:c r="AA523" s="43"/>
      <x:c r="AB523" s="43"/>
      <x:c r="AC523" s="43"/>
      <x:c r="AD523" s="43"/>
      <x:c r="AE523" s="43"/>
      <x:c r="AF523" s="43"/>
      <x:c r="AG523" s="67"/>
      <x:c r="AH523" s="43"/>
      <x:c r="AI523" s="43"/>
    </x:row>
    <x:row r="524">
      <x:c r="A524" s="43"/>
      <x:c r="B524" s="43"/>
      <x:c r="C524" s="43"/>
      <x:c r="D524" s="43" t="str">
        <x:f>IF(C524="","",YEAR(C524))</x:f>
      </x:c>
      <x:c r="E524" s="43" t="str">
        <x:f>IF(C524="","",MONTH(C524))</x:f>
      </x:c>
      <x:c r="F524" s="43" t="str">
        <x:f>IF(C524="","",WEEKNUM(C524,21))</x:f>
      </x:c>
      <x:c r="G524" s="43" t="str">
        <x:f>IF(C524="","",CHOOSE(WEEKDAY(C524,2),"Lundi","Mardi","Mercredi","Jeudi","Vendredi","Samedi","Dimanche"))</x:f>
      </x:c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  <x:c r="AA524" s="43"/>
      <x:c r="AB524" s="43"/>
      <x:c r="AC524" s="43"/>
      <x:c r="AD524" s="43"/>
      <x:c r="AE524" s="43"/>
      <x:c r="AF524" s="43"/>
      <x:c r="AG524" s="67"/>
      <x:c r="AH524" s="43"/>
      <x:c r="AI524" s="43"/>
    </x:row>
    <x:row r="525">
      <x:c r="A525" s="43"/>
      <x:c r="B525" s="43"/>
      <x:c r="C525" s="43"/>
      <x:c r="D525" s="43" t="str">
        <x:f>IF(C525="","",YEAR(C525))</x:f>
      </x:c>
      <x:c r="E525" s="43" t="str">
        <x:f>IF(C525="","",MONTH(C525))</x:f>
      </x:c>
      <x:c r="F525" s="43" t="str">
        <x:f>IF(C525="","",WEEKNUM(C525,21))</x:f>
      </x:c>
      <x:c r="G525" s="43" t="str">
        <x:f>IF(C525="","",CHOOSE(WEEKDAY(C525,2),"Lundi","Mardi","Mercredi","Jeudi","Vendredi","Samedi","Dimanche"))</x:f>
      </x:c>
      <x:c r="H525" s="43"/>
      <x:c r="I525" s="43"/>
      <x:c r="J525" s="43"/>
      <x:c r="K525" s="43"/>
      <x:c r="L525" s="43"/>
      <x:c r="M525" s="43"/>
      <x:c r="N525" s="43"/>
      <x:c r="O525" s="43"/>
      <x:c r="P525" s="43"/>
      <x:c r="Q525" s="43"/>
      <x:c r="R525" s="43"/>
      <x:c r="S525" s="43"/>
      <x:c r="T525" s="43"/>
      <x:c r="U525" s="43"/>
      <x:c r="V525" s="43"/>
      <x:c r="W525" s="43"/>
      <x:c r="X525" s="43"/>
      <x:c r="Y525" s="43"/>
      <x:c r="Z525" s="43"/>
      <x:c r="AA525" s="43"/>
      <x:c r="AB525" s="43"/>
      <x:c r="AC525" s="43"/>
      <x:c r="AD525" s="43"/>
      <x:c r="AE525" s="43"/>
      <x:c r="AF525" s="43"/>
      <x:c r="AG525" s="67"/>
      <x:c r="AH525" s="43"/>
      <x:c r="AI525" s="43"/>
    </x:row>
    <x:row r="526">
      <x:c r="A526" s="43"/>
      <x:c r="B526" s="43"/>
      <x:c r="C526" s="43"/>
      <x:c r="D526" s="43" t="str">
        <x:f>IF(C526="","",YEAR(C526))</x:f>
      </x:c>
      <x:c r="E526" s="43" t="str">
        <x:f>IF(C526="","",MONTH(C526))</x:f>
      </x:c>
      <x:c r="F526" s="43" t="str">
        <x:f>IF(C526="","",WEEKNUM(C526,21))</x:f>
      </x:c>
      <x:c r="G526" s="43" t="str">
        <x:f>IF(C526="","",CHOOSE(WEEKDAY(C526,2),"Lundi","Mardi","Mercredi","Jeudi","Vendredi","Samedi","Dimanche"))</x:f>
      </x:c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  <x:c r="AA526" s="43"/>
      <x:c r="AB526" s="43"/>
      <x:c r="AC526" s="43"/>
      <x:c r="AD526" s="43"/>
      <x:c r="AE526" s="43"/>
      <x:c r="AF526" s="43"/>
      <x:c r="AG526" s="67"/>
      <x:c r="AH526" s="43"/>
      <x:c r="AI526" s="43"/>
    </x:row>
    <x:row r="527">
      <x:c r="A527" s="43"/>
      <x:c r="B527" s="43"/>
      <x:c r="C527" s="43"/>
      <x:c r="D527" s="43" t="str">
        <x:f>IF(C527="","",YEAR(C527))</x:f>
      </x:c>
      <x:c r="E527" s="43" t="str">
        <x:f>IF(C527="","",MONTH(C527))</x:f>
      </x:c>
      <x:c r="F527" s="43" t="str">
        <x:f>IF(C527="","",WEEKNUM(C527,21))</x:f>
      </x:c>
      <x:c r="G527" s="43" t="str">
        <x:f>IF(C527="","",CHOOSE(WEEKDAY(C527,2),"Lundi","Mardi","Mercredi","Jeudi","Vendredi","Samedi","Dimanche"))</x:f>
      </x:c>
      <x:c r="H527" s="43"/>
      <x:c r="I527" s="43"/>
      <x:c r="J527" s="43"/>
      <x:c r="K527" s="43"/>
      <x:c r="L527" s="43"/>
      <x:c r="M527" s="43"/>
      <x:c r="N527" s="43"/>
      <x:c r="O527" s="43"/>
      <x:c r="P527" s="43"/>
      <x:c r="Q527" s="43"/>
      <x:c r="R527" s="43"/>
      <x:c r="S527" s="43"/>
      <x:c r="T527" s="43"/>
      <x:c r="U527" s="43"/>
      <x:c r="V527" s="43"/>
      <x:c r="W527" s="43"/>
      <x:c r="X527" s="43"/>
      <x:c r="Y527" s="43"/>
      <x:c r="Z527" s="43"/>
      <x:c r="AA527" s="43"/>
      <x:c r="AB527" s="43"/>
      <x:c r="AC527" s="43"/>
      <x:c r="AD527" s="43"/>
      <x:c r="AE527" s="43"/>
      <x:c r="AF527" s="43"/>
      <x:c r="AG527" s="67"/>
      <x:c r="AH527" s="43"/>
      <x:c r="AI527" s="43"/>
    </x:row>
    <x:row r="528">
      <x:c r="A528" s="43"/>
      <x:c r="B528" s="43"/>
      <x:c r="C528" s="43"/>
      <x:c r="D528" s="43" t="str">
        <x:f>IF(C528="","",YEAR(C528))</x:f>
      </x:c>
      <x:c r="E528" s="43" t="str">
        <x:f>IF(C528="","",MONTH(C528))</x:f>
      </x:c>
      <x:c r="F528" s="43" t="str">
        <x:f>IF(C528="","",WEEKNUM(C528,21))</x:f>
      </x:c>
      <x:c r="G528" s="43" t="str">
        <x:f>IF(C528="","",CHOOSE(WEEKDAY(C528,2),"Lundi","Mardi","Mercredi","Jeudi","Vendredi","Samedi","Dimanche"))</x:f>
      </x:c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  <x:c r="AA528" s="43"/>
      <x:c r="AB528" s="43"/>
      <x:c r="AC528" s="43"/>
      <x:c r="AD528" s="43"/>
      <x:c r="AE528" s="43"/>
      <x:c r="AF528" s="43"/>
      <x:c r="AG528" s="67"/>
      <x:c r="AH528" s="43"/>
      <x:c r="AI528" s="43"/>
    </x:row>
    <x:row r="529">
      <x:c r="A529" s="43"/>
      <x:c r="B529" s="43"/>
      <x:c r="C529" s="43"/>
      <x:c r="D529" s="43" t="str">
        <x:f>IF(C529="","",YEAR(C529))</x:f>
      </x:c>
      <x:c r="E529" s="43" t="str">
        <x:f>IF(C529="","",MONTH(C529))</x:f>
      </x:c>
      <x:c r="F529" s="43" t="str">
        <x:f>IF(C529="","",WEEKNUM(C529,21))</x:f>
      </x:c>
      <x:c r="G529" s="43" t="str">
        <x:f>IF(C529="","",CHOOSE(WEEKDAY(C529,2),"Lundi","Mardi","Mercredi","Jeudi","Vendredi","Samedi","Dimanche"))</x:f>
      </x:c>
      <x:c r="H529" s="43"/>
      <x:c r="I529" s="43"/>
      <x:c r="J529" s="43"/>
      <x:c r="K529" s="43"/>
      <x:c r="L529" s="43"/>
      <x:c r="M529" s="43"/>
      <x:c r="N529" s="43"/>
      <x:c r="O529" s="43"/>
      <x:c r="P529" s="43"/>
      <x:c r="Q529" s="43"/>
      <x:c r="R529" s="43"/>
      <x:c r="S529" s="43"/>
      <x:c r="T529" s="43"/>
      <x:c r="U529" s="43"/>
      <x:c r="V529" s="43"/>
      <x:c r="W529" s="43"/>
      <x:c r="X529" s="43"/>
      <x:c r="Y529" s="43"/>
      <x:c r="Z529" s="43"/>
      <x:c r="AA529" s="43"/>
      <x:c r="AB529" s="43"/>
      <x:c r="AC529" s="43"/>
      <x:c r="AD529" s="43"/>
      <x:c r="AE529" s="43"/>
      <x:c r="AF529" s="43"/>
      <x:c r="AG529" s="67"/>
      <x:c r="AH529" s="43"/>
      <x:c r="AI529" s="43"/>
    </x:row>
    <x:row r="530">
      <x:c r="A530" s="43"/>
      <x:c r="B530" s="43"/>
      <x:c r="C530" s="43"/>
      <x:c r="D530" s="43" t="str">
        <x:f>IF(C530="","",YEAR(C530))</x:f>
      </x:c>
      <x:c r="E530" s="43" t="str">
        <x:f>IF(C530="","",MONTH(C530))</x:f>
      </x:c>
      <x:c r="F530" s="43" t="str">
        <x:f>IF(C530="","",WEEKNUM(C530,21))</x:f>
      </x:c>
      <x:c r="G530" s="43" t="str">
        <x:f>IF(C530="","",CHOOSE(WEEKDAY(C530,2),"Lundi","Mardi","Mercredi","Jeudi","Vendredi","Samedi","Dimanche"))</x:f>
      </x:c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  <x:c r="AA530" s="43"/>
      <x:c r="AB530" s="43"/>
      <x:c r="AC530" s="43"/>
      <x:c r="AD530" s="43"/>
      <x:c r="AE530" s="43"/>
      <x:c r="AF530" s="43"/>
      <x:c r="AG530" s="67"/>
      <x:c r="AH530" s="43"/>
      <x:c r="AI530" s="43"/>
    </x:row>
    <x:row r="531">
      <x:c r="A531" s="43"/>
      <x:c r="B531" s="43"/>
      <x:c r="C531" s="43"/>
      <x:c r="D531" s="43" t="str">
        <x:f>IF(C531="","",YEAR(C531))</x:f>
      </x:c>
      <x:c r="E531" s="43" t="str">
        <x:f>IF(C531="","",MONTH(C531))</x:f>
      </x:c>
      <x:c r="F531" s="43" t="str">
        <x:f>IF(C531="","",WEEKNUM(C531,21))</x:f>
      </x:c>
      <x:c r="G531" s="43" t="str">
        <x:f>IF(C531="","",CHOOSE(WEEKDAY(C531,2),"Lundi","Mardi","Mercredi","Jeudi","Vendredi","Samedi","Dimanche"))</x:f>
      </x:c>
      <x:c r="H531" s="43"/>
      <x:c r="I531" s="43"/>
      <x:c r="J531" s="43"/>
      <x:c r="K531" s="43"/>
      <x:c r="L531" s="43"/>
      <x:c r="M531" s="43"/>
      <x:c r="N531" s="43"/>
      <x:c r="O531" s="43"/>
      <x:c r="P531" s="43"/>
      <x:c r="Q531" s="43"/>
      <x:c r="R531" s="43"/>
      <x:c r="S531" s="43"/>
      <x:c r="T531" s="43"/>
      <x:c r="U531" s="43"/>
      <x:c r="V531" s="43"/>
      <x:c r="W531" s="43"/>
      <x:c r="X531" s="43"/>
      <x:c r="Y531" s="43"/>
      <x:c r="Z531" s="43"/>
      <x:c r="AA531" s="43"/>
      <x:c r="AB531" s="43"/>
      <x:c r="AC531" s="43"/>
      <x:c r="AD531" s="43"/>
      <x:c r="AE531" s="43"/>
      <x:c r="AF531" s="43"/>
      <x:c r="AG531" s="67"/>
      <x:c r="AH531" s="43"/>
      <x:c r="AI531" s="43"/>
    </x:row>
    <x:row r="532">
      <x:c r="A532" s="43"/>
      <x:c r="B532" s="43"/>
      <x:c r="C532" s="43"/>
      <x:c r="D532" s="43" t="str">
        <x:f>IF(C532="","",YEAR(C532))</x:f>
      </x:c>
      <x:c r="E532" s="43" t="str">
        <x:f>IF(C532="","",MONTH(C532))</x:f>
      </x:c>
      <x:c r="F532" s="43" t="str">
        <x:f>IF(C532="","",WEEKNUM(C532,21))</x:f>
      </x:c>
      <x:c r="G532" s="43" t="str">
        <x:f>IF(C532="","",CHOOSE(WEEKDAY(C532,2),"Lundi","Mardi","Mercredi","Jeudi","Vendredi","Samedi","Dimanche"))</x:f>
      </x:c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  <x:c r="AA532" s="43"/>
      <x:c r="AB532" s="43"/>
      <x:c r="AC532" s="43"/>
      <x:c r="AD532" s="43"/>
      <x:c r="AE532" s="43"/>
      <x:c r="AF532" s="43"/>
      <x:c r="AG532" s="67"/>
      <x:c r="AH532" s="43"/>
      <x:c r="AI532" s="43"/>
    </x:row>
    <x:row r="533">
      <x:c r="A533" s="43"/>
      <x:c r="B533" s="43"/>
      <x:c r="C533" s="43"/>
      <x:c r="D533" s="43" t="str">
        <x:f>IF(C533="","",YEAR(C533))</x:f>
      </x:c>
      <x:c r="E533" s="43" t="str">
        <x:f>IF(C533="","",MONTH(C533))</x:f>
      </x:c>
      <x:c r="F533" s="43" t="str">
        <x:f>IF(C533="","",WEEKNUM(C533,21))</x:f>
      </x:c>
      <x:c r="G533" s="43" t="str">
        <x:f>IF(C533="","",CHOOSE(WEEKDAY(C533,2),"Lundi","Mardi","Mercredi","Jeudi","Vendredi","Samedi","Dimanche"))</x:f>
      </x:c>
      <x:c r="H533" s="43"/>
      <x:c r="I533" s="43"/>
      <x:c r="J533" s="43"/>
      <x:c r="K533" s="43"/>
      <x:c r="L533" s="43"/>
      <x:c r="M533" s="43"/>
      <x:c r="N533" s="43"/>
      <x:c r="O533" s="43"/>
      <x:c r="P533" s="43"/>
      <x:c r="Q533" s="43"/>
      <x:c r="R533" s="43"/>
      <x:c r="S533" s="43"/>
      <x:c r="T533" s="43"/>
      <x:c r="U533" s="43"/>
      <x:c r="V533" s="43"/>
      <x:c r="W533" s="43"/>
      <x:c r="X533" s="43"/>
      <x:c r="Y533" s="43"/>
      <x:c r="Z533" s="43"/>
      <x:c r="AA533" s="43"/>
      <x:c r="AB533" s="43"/>
      <x:c r="AC533" s="43"/>
      <x:c r="AD533" s="43"/>
      <x:c r="AE533" s="43"/>
      <x:c r="AF533" s="43"/>
      <x:c r="AG533" s="67"/>
      <x:c r="AH533" s="43"/>
      <x:c r="AI533" s="43"/>
    </x:row>
    <x:row r="534">
      <x:c r="A534" s="43"/>
      <x:c r="B534" s="43"/>
      <x:c r="C534" s="43"/>
      <x:c r="D534" s="43" t="str">
        <x:f>IF(C534="","",YEAR(C534))</x:f>
      </x:c>
      <x:c r="E534" s="43" t="str">
        <x:f>IF(C534="","",MONTH(C534))</x:f>
      </x:c>
      <x:c r="F534" s="43" t="str">
        <x:f>IF(C534="","",WEEKNUM(C534,21))</x:f>
      </x:c>
      <x:c r="G534" s="43" t="str">
        <x:f>IF(C534="","",CHOOSE(WEEKDAY(C534,2),"Lundi","Mardi","Mercredi","Jeudi","Vendredi","Samedi","Dimanche"))</x:f>
      </x:c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  <x:c r="AA534" s="43"/>
      <x:c r="AB534" s="43"/>
      <x:c r="AC534" s="43"/>
      <x:c r="AD534" s="43"/>
      <x:c r="AE534" s="43"/>
      <x:c r="AF534" s="43"/>
      <x:c r="AG534" s="67"/>
      <x:c r="AH534" s="43"/>
      <x:c r="AI534" s="43"/>
    </x:row>
    <x:row r="535">
      <x:c r="A535" s="43"/>
      <x:c r="B535" s="43"/>
      <x:c r="C535" s="43"/>
      <x:c r="D535" s="43" t="str">
        <x:f>IF(C535="","",YEAR(C535))</x:f>
      </x:c>
      <x:c r="E535" s="43" t="str">
        <x:f>IF(C535="","",MONTH(C535))</x:f>
      </x:c>
      <x:c r="F535" s="43" t="str">
        <x:f>IF(C535="","",WEEKNUM(C535,21))</x:f>
      </x:c>
      <x:c r="G535" s="43" t="str">
        <x:f>IF(C535="","",CHOOSE(WEEKDAY(C535,2),"Lundi","Mardi","Mercredi","Jeudi","Vendredi","Samedi","Dimanche"))</x:f>
      </x:c>
      <x:c r="H535" s="43"/>
      <x:c r="I535" s="43"/>
      <x:c r="J535" s="43"/>
      <x:c r="K535" s="43"/>
      <x:c r="L535" s="43"/>
      <x:c r="M535" s="43"/>
      <x:c r="N535" s="43"/>
      <x:c r="O535" s="43"/>
      <x:c r="P535" s="43"/>
      <x:c r="Q535" s="43"/>
      <x:c r="R535" s="43"/>
      <x:c r="S535" s="43"/>
      <x:c r="T535" s="43"/>
      <x:c r="U535" s="43"/>
      <x:c r="V535" s="43"/>
      <x:c r="W535" s="43"/>
      <x:c r="X535" s="43"/>
      <x:c r="Y535" s="43"/>
      <x:c r="Z535" s="43"/>
      <x:c r="AA535" s="43"/>
      <x:c r="AB535" s="43"/>
      <x:c r="AC535" s="43"/>
      <x:c r="AD535" s="43"/>
      <x:c r="AE535" s="43"/>
      <x:c r="AF535" s="43"/>
      <x:c r="AG535" s="67"/>
      <x:c r="AH535" s="43"/>
      <x:c r="AI535" s="43"/>
    </x:row>
    <x:row r="536">
      <x:c r="A536" s="43"/>
      <x:c r="B536" s="43"/>
      <x:c r="C536" s="43"/>
      <x:c r="D536" s="43" t="str">
        <x:f>IF(C536="","",YEAR(C536))</x:f>
      </x:c>
      <x:c r="E536" s="43" t="str">
        <x:f>IF(C536="","",MONTH(C536))</x:f>
      </x:c>
      <x:c r="F536" s="43" t="str">
        <x:f>IF(C536="","",WEEKNUM(C536,21))</x:f>
      </x:c>
      <x:c r="G536" s="43" t="str">
        <x:f>IF(C536="","",CHOOSE(WEEKDAY(C536,2),"Lundi","Mardi","Mercredi","Jeudi","Vendredi","Samedi","Dimanche"))</x:f>
      </x:c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  <x:c r="AA536" s="43"/>
      <x:c r="AB536" s="43"/>
      <x:c r="AC536" s="43"/>
      <x:c r="AD536" s="43"/>
      <x:c r="AE536" s="43"/>
      <x:c r="AF536" s="43"/>
      <x:c r="AG536" s="67"/>
      <x:c r="AH536" s="43"/>
      <x:c r="AI536" s="43"/>
    </x:row>
    <x:row r="537">
      <x:c r="A537" s="43"/>
      <x:c r="B537" s="43"/>
      <x:c r="C537" s="43"/>
      <x:c r="D537" s="43" t="str">
        <x:f>IF(C537="","",YEAR(C537))</x:f>
      </x:c>
      <x:c r="E537" s="43" t="str">
        <x:f>IF(C537="","",MONTH(C537))</x:f>
      </x:c>
      <x:c r="F537" s="43" t="str">
        <x:f>IF(C537="","",WEEKNUM(C537,21))</x:f>
      </x:c>
      <x:c r="G537" s="43" t="str">
        <x:f>IF(C537="","",CHOOSE(WEEKDAY(C537,2),"Lundi","Mardi","Mercredi","Jeudi","Vendredi","Samedi","Dimanche"))</x:f>
      </x:c>
      <x:c r="H537" s="43"/>
      <x:c r="I537" s="43"/>
      <x:c r="J537" s="43"/>
      <x:c r="K537" s="43"/>
      <x:c r="L537" s="43"/>
      <x:c r="M537" s="43"/>
      <x:c r="N537" s="43"/>
      <x:c r="O537" s="43"/>
      <x:c r="P537" s="43"/>
      <x:c r="Q537" s="43"/>
      <x:c r="R537" s="43"/>
      <x:c r="S537" s="43"/>
      <x:c r="T537" s="43"/>
      <x:c r="U537" s="43"/>
      <x:c r="V537" s="43"/>
      <x:c r="W537" s="43"/>
      <x:c r="X537" s="43"/>
      <x:c r="Y537" s="43"/>
      <x:c r="Z537" s="43"/>
      <x:c r="AA537" s="43"/>
      <x:c r="AB537" s="43"/>
      <x:c r="AC537" s="43"/>
      <x:c r="AD537" s="43"/>
      <x:c r="AE537" s="43"/>
      <x:c r="AF537" s="43"/>
      <x:c r="AG537" s="67"/>
      <x:c r="AH537" s="43"/>
      <x:c r="AI537" s="43"/>
    </x:row>
    <x:row r="538">
      <x:c r="A538" s="43"/>
      <x:c r="B538" s="43"/>
      <x:c r="C538" s="43"/>
      <x:c r="D538" s="43" t="str">
        <x:f>IF(C538="","",YEAR(C538))</x:f>
      </x:c>
      <x:c r="E538" s="43" t="str">
        <x:f>IF(C538="","",MONTH(C538))</x:f>
      </x:c>
      <x:c r="F538" s="43" t="str">
        <x:f>IF(C538="","",WEEKNUM(C538,21))</x:f>
      </x:c>
      <x:c r="G538" s="43" t="str">
        <x:f>IF(C538="","",CHOOSE(WEEKDAY(C538,2),"Lundi","Mardi","Mercredi","Jeudi","Vendredi","Samedi","Dimanche"))</x:f>
      </x:c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  <x:c r="AA538" s="43"/>
      <x:c r="AB538" s="43"/>
      <x:c r="AC538" s="43"/>
      <x:c r="AD538" s="43"/>
      <x:c r="AE538" s="43"/>
      <x:c r="AF538" s="43"/>
      <x:c r="AG538" s="67"/>
      <x:c r="AH538" s="43"/>
      <x:c r="AI538" s="43"/>
    </x:row>
    <x:row r="539">
      <x:c r="A539" s="43"/>
      <x:c r="B539" s="43"/>
      <x:c r="C539" s="43"/>
      <x:c r="D539" s="43" t="str">
        <x:f>IF(C539="","",YEAR(C539))</x:f>
      </x:c>
      <x:c r="E539" s="43" t="str">
        <x:f>IF(C539="","",MONTH(C539))</x:f>
      </x:c>
      <x:c r="F539" s="43" t="str">
        <x:f>IF(C539="","",WEEKNUM(C539,21))</x:f>
      </x:c>
      <x:c r="G539" s="43" t="str">
        <x:f>IF(C539="","",CHOOSE(WEEKDAY(C539,2),"Lundi","Mardi","Mercredi","Jeudi","Vendredi","Samedi","Dimanche"))</x:f>
      </x:c>
      <x:c r="H539" s="43"/>
      <x:c r="I539" s="43"/>
      <x:c r="J539" s="43"/>
      <x:c r="K539" s="43"/>
      <x:c r="L539" s="43"/>
      <x:c r="M539" s="43"/>
      <x:c r="N539" s="43"/>
      <x:c r="O539" s="43"/>
      <x:c r="P539" s="43"/>
      <x:c r="Q539" s="43"/>
      <x:c r="R539" s="43"/>
      <x:c r="S539" s="43"/>
      <x:c r="T539" s="43"/>
      <x:c r="U539" s="43"/>
      <x:c r="V539" s="43"/>
      <x:c r="W539" s="43"/>
      <x:c r="X539" s="43"/>
      <x:c r="Y539" s="43"/>
      <x:c r="Z539" s="43"/>
      <x:c r="AA539" s="43"/>
      <x:c r="AB539" s="43"/>
      <x:c r="AC539" s="43"/>
      <x:c r="AD539" s="43"/>
      <x:c r="AE539" s="43"/>
      <x:c r="AF539" s="43"/>
      <x:c r="AG539" s="67"/>
      <x:c r="AH539" s="43"/>
      <x:c r="AI539" s="43"/>
    </x:row>
    <x:row r="540">
      <x:c r="A540" s="43"/>
      <x:c r="B540" s="43"/>
      <x:c r="C540" s="43"/>
      <x:c r="D540" s="43" t="str">
        <x:f>IF(C540="","",YEAR(C540))</x:f>
      </x:c>
      <x:c r="E540" s="43" t="str">
        <x:f>IF(C540="","",MONTH(C540))</x:f>
      </x:c>
      <x:c r="F540" s="43" t="str">
        <x:f>IF(C540="","",WEEKNUM(C540,21))</x:f>
      </x:c>
      <x:c r="G540" s="43" t="str">
        <x:f>IF(C540="","",CHOOSE(WEEKDAY(C540,2),"Lundi","Mardi","Mercredi","Jeudi","Vendredi","Samedi","Dimanche"))</x:f>
      </x:c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  <x:c r="AA540" s="43"/>
      <x:c r="AB540" s="43"/>
      <x:c r="AC540" s="43"/>
      <x:c r="AD540" s="43"/>
      <x:c r="AE540" s="43"/>
      <x:c r="AF540" s="43"/>
      <x:c r="AG540" s="67"/>
      <x:c r="AH540" s="43"/>
      <x:c r="AI540" s="43"/>
    </x:row>
    <x:row r="541">
      <x:c r="A541" s="43"/>
      <x:c r="B541" s="43"/>
      <x:c r="C541" s="43"/>
      <x:c r="D541" s="43" t="str">
        <x:f>IF(C541="","",YEAR(C541))</x:f>
      </x:c>
      <x:c r="E541" s="43" t="str">
        <x:f>IF(C541="","",MONTH(C541))</x:f>
      </x:c>
      <x:c r="F541" s="43" t="str">
        <x:f>IF(C541="","",WEEKNUM(C541,21))</x:f>
      </x:c>
      <x:c r="G541" s="43" t="str">
        <x:f>IF(C541="","",CHOOSE(WEEKDAY(C541,2),"Lundi","Mardi","Mercredi","Jeudi","Vendredi","Samedi","Dimanche"))</x:f>
      </x:c>
      <x:c r="H541" s="43"/>
      <x:c r="I541" s="43"/>
      <x:c r="J541" s="43"/>
      <x:c r="K541" s="43"/>
      <x:c r="L541" s="43"/>
      <x:c r="M541" s="43"/>
      <x:c r="N541" s="43"/>
      <x:c r="O541" s="43"/>
      <x:c r="P541" s="43"/>
      <x:c r="Q541" s="43"/>
      <x:c r="R541" s="43"/>
      <x:c r="S541" s="43"/>
      <x:c r="T541" s="43"/>
      <x:c r="U541" s="43"/>
      <x:c r="V541" s="43"/>
      <x:c r="W541" s="43"/>
      <x:c r="X541" s="43"/>
      <x:c r="Y541" s="43"/>
      <x:c r="Z541" s="43"/>
      <x:c r="AA541" s="43"/>
      <x:c r="AB541" s="43"/>
      <x:c r="AC541" s="43"/>
      <x:c r="AD541" s="43"/>
      <x:c r="AE541" s="43"/>
      <x:c r="AF541" s="43"/>
      <x:c r="AG541" s="67"/>
      <x:c r="AH541" s="43"/>
      <x:c r="AI541" s="43"/>
    </x:row>
    <x:row r="542">
      <x:c r="A542" s="43"/>
      <x:c r="B542" s="43"/>
      <x:c r="C542" s="43"/>
      <x:c r="D542" s="43" t="str">
        <x:f>IF(C542="","",YEAR(C542))</x:f>
      </x:c>
      <x:c r="E542" s="43" t="str">
        <x:f>IF(C542="","",MONTH(C542))</x:f>
      </x:c>
      <x:c r="F542" s="43" t="str">
        <x:f>IF(C542="","",WEEKNUM(C542,21))</x:f>
      </x:c>
      <x:c r="G542" s="43" t="str">
        <x:f>IF(C542="","",CHOOSE(WEEKDAY(C542,2),"Lundi","Mardi","Mercredi","Jeudi","Vendredi","Samedi","Dimanche"))</x:f>
      </x:c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  <x:c r="AA542" s="43"/>
      <x:c r="AB542" s="43"/>
      <x:c r="AC542" s="43"/>
      <x:c r="AD542" s="43"/>
      <x:c r="AE542" s="43"/>
      <x:c r="AF542" s="43"/>
      <x:c r="AG542" s="67"/>
      <x:c r="AH542" s="43"/>
      <x:c r="AI542" s="43"/>
    </x:row>
    <x:row r="543">
      <x:c r="A543" s="43"/>
      <x:c r="B543" s="43"/>
      <x:c r="C543" s="43"/>
      <x:c r="D543" s="43" t="str">
        <x:f>IF(C543="","",YEAR(C543))</x:f>
      </x:c>
      <x:c r="E543" s="43" t="str">
        <x:f>IF(C543="","",MONTH(C543))</x:f>
      </x:c>
      <x:c r="F543" s="43" t="str">
        <x:f>IF(C543="","",WEEKNUM(C543,21))</x:f>
      </x:c>
      <x:c r="G543" s="43" t="str">
        <x:f>IF(C543="","",CHOOSE(WEEKDAY(C543,2),"Lundi","Mardi","Mercredi","Jeudi","Vendredi","Samedi","Dimanche"))</x:f>
      </x:c>
      <x:c r="H543" s="43"/>
      <x:c r="I543" s="43"/>
      <x:c r="J543" s="43"/>
      <x:c r="K543" s="43"/>
      <x:c r="L543" s="43"/>
      <x:c r="M543" s="43"/>
      <x:c r="N543" s="43"/>
      <x:c r="O543" s="43"/>
      <x:c r="P543" s="43"/>
      <x:c r="Q543" s="43"/>
      <x:c r="R543" s="43"/>
      <x:c r="S543" s="43"/>
      <x:c r="T543" s="43"/>
      <x:c r="U543" s="43"/>
      <x:c r="V543" s="43"/>
      <x:c r="W543" s="43"/>
      <x:c r="X543" s="43"/>
      <x:c r="Y543" s="43"/>
      <x:c r="Z543" s="43"/>
      <x:c r="AA543" s="43"/>
      <x:c r="AB543" s="43"/>
      <x:c r="AC543" s="43"/>
      <x:c r="AD543" s="43"/>
      <x:c r="AE543" s="43"/>
      <x:c r="AF543" s="43"/>
      <x:c r="AG543" s="67"/>
      <x:c r="AH543" s="43"/>
      <x:c r="AI543" s="43"/>
    </x:row>
    <x:row r="544">
      <x:c r="A544" s="43"/>
      <x:c r="B544" s="43"/>
      <x:c r="C544" s="43"/>
      <x:c r="D544" s="43" t="str">
        <x:f>IF(C544="","",YEAR(C544))</x:f>
      </x:c>
      <x:c r="E544" s="43" t="str">
        <x:f>IF(C544="","",MONTH(C544))</x:f>
      </x:c>
      <x:c r="F544" s="43" t="str">
        <x:f>IF(C544="","",WEEKNUM(C544,21))</x:f>
      </x:c>
      <x:c r="G544" s="43" t="str">
        <x:f>IF(C544="","",CHOOSE(WEEKDAY(C544,2),"Lundi","Mardi","Mercredi","Jeudi","Vendredi","Samedi","Dimanche"))</x:f>
      </x:c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  <x:c r="AA544" s="43"/>
      <x:c r="AB544" s="43"/>
      <x:c r="AC544" s="43"/>
      <x:c r="AD544" s="43"/>
      <x:c r="AE544" s="43"/>
      <x:c r="AF544" s="43"/>
      <x:c r="AG544" s="67"/>
      <x:c r="AH544" s="43"/>
      <x:c r="AI544" s="43"/>
    </x:row>
    <x:row r="545">
      <x:c r="A545" s="43"/>
      <x:c r="B545" s="43"/>
      <x:c r="C545" s="43"/>
      <x:c r="D545" s="43" t="str">
        <x:f>IF(C545="","",YEAR(C545))</x:f>
      </x:c>
      <x:c r="E545" s="43" t="str">
        <x:f>IF(C545="","",MONTH(C545))</x:f>
      </x:c>
      <x:c r="F545" s="43" t="str">
        <x:f>IF(C545="","",WEEKNUM(C545,21))</x:f>
      </x:c>
      <x:c r="G545" s="43" t="str">
        <x:f>IF(C545="","",CHOOSE(WEEKDAY(C545,2),"Lundi","Mardi","Mercredi","Jeudi","Vendredi","Samedi","Dimanche"))</x:f>
      </x:c>
      <x:c r="H545" s="43"/>
      <x:c r="I545" s="43"/>
      <x:c r="J545" s="43"/>
      <x:c r="K545" s="43"/>
      <x:c r="L545" s="43"/>
      <x:c r="M545" s="43"/>
      <x:c r="N545" s="43"/>
      <x:c r="O545" s="43"/>
      <x:c r="P545" s="43"/>
      <x:c r="Q545" s="43"/>
      <x:c r="R545" s="43"/>
      <x:c r="S545" s="43"/>
      <x:c r="T545" s="43"/>
      <x:c r="U545" s="43"/>
      <x:c r="V545" s="43"/>
      <x:c r="W545" s="43"/>
      <x:c r="X545" s="43"/>
      <x:c r="Y545" s="43"/>
      <x:c r="Z545" s="43"/>
      <x:c r="AA545" s="43"/>
      <x:c r="AB545" s="43"/>
      <x:c r="AC545" s="43"/>
      <x:c r="AD545" s="43"/>
      <x:c r="AE545" s="43"/>
      <x:c r="AF545" s="43"/>
      <x:c r="AG545" s="67"/>
      <x:c r="AH545" s="43"/>
      <x:c r="AI545" s="43"/>
    </x:row>
    <x:row r="546">
      <x:c r="A546" s="43"/>
      <x:c r="B546" s="43"/>
      <x:c r="C546" s="43"/>
      <x:c r="D546" s="43" t="str">
        <x:f>IF(C546="","",YEAR(C546))</x:f>
      </x:c>
      <x:c r="E546" s="43" t="str">
        <x:f>IF(C546="","",MONTH(C546))</x:f>
      </x:c>
      <x:c r="F546" s="43" t="str">
        <x:f>IF(C546="","",WEEKNUM(C546,21))</x:f>
      </x:c>
      <x:c r="G546" s="43" t="str">
        <x:f>IF(C546="","",CHOOSE(WEEKDAY(C546,2),"Lundi","Mardi","Mercredi","Jeudi","Vendredi","Samedi","Dimanche"))</x:f>
      </x:c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  <x:c r="AA546" s="43"/>
      <x:c r="AB546" s="43"/>
      <x:c r="AC546" s="43"/>
      <x:c r="AD546" s="43"/>
      <x:c r="AE546" s="43"/>
      <x:c r="AF546" s="43"/>
      <x:c r="AG546" s="67"/>
      <x:c r="AH546" s="43"/>
      <x:c r="AI546" s="43"/>
    </x:row>
    <x:row r="547">
      <x:c r="A547" s="43"/>
      <x:c r="B547" s="43"/>
      <x:c r="C547" s="43"/>
      <x:c r="D547" s="43" t="str">
        <x:f>IF(C547="","",YEAR(C547))</x:f>
      </x:c>
      <x:c r="E547" s="43" t="str">
        <x:f>IF(C547="","",MONTH(C547))</x:f>
      </x:c>
      <x:c r="F547" s="43" t="str">
        <x:f>IF(C547="","",WEEKNUM(C547,21))</x:f>
      </x:c>
      <x:c r="G547" s="43" t="str">
        <x:f>IF(C547="","",CHOOSE(WEEKDAY(C547,2),"Lundi","Mardi","Mercredi","Jeudi","Vendredi","Samedi","Dimanche"))</x:f>
      </x:c>
      <x:c r="H547" s="43"/>
      <x:c r="I547" s="43"/>
      <x:c r="J547" s="43"/>
      <x:c r="K547" s="43"/>
      <x:c r="L547" s="43"/>
      <x:c r="M547" s="43"/>
      <x:c r="N547" s="43"/>
      <x:c r="O547" s="43"/>
      <x:c r="P547" s="43"/>
      <x:c r="Q547" s="43"/>
      <x:c r="R547" s="43"/>
      <x:c r="S547" s="43"/>
      <x:c r="T547" s="43"/>
      <x:c r="U547" s="43"/>
      <x:c r="V547" s="43"/>
      <x:c r="W547" s="43"/>
      <x:c r="X547" s="43"/>
      <x:c r="Y547" s="43"/>
      <x:c r="Z547" s="43"/>
      <x:c r="AA547" s="43"/>
      <x:c r="AB547" s="43"/>
      <x:c r="AC547" s="43"/>
      <x:c r="AD547" s="43"/>
      <x:c r="AE547" s="43"/>
      <x:c r="AF547" s="43"/>
      <x:c r="AG547" s="67"/>
      <x:c r="AH547" s="43"/>
      <x:c r="AI547" s="43"/>
    </x:row>
    <x:row r="548">
      <x:c r="A548" s="43"/>
      <x:c r="B548" s="43"/>
      <x:c r="C548" s="43"/>
      <x:c r="D548" s="43" t="str">
        <x:f>IF(C548="","",YEAR(C548))</x:f>
      </x:c>
      <x:c r="E548" s="43" t="str">
        <x:f>IF(C548="","",MONTH(C548))</x:f>
      </x:c>
      <x:c r="F548" s="43" t="str">
        <x:f>IF(C548="","",WEEKNUM(C548,21))</x:f>
      </x:c>
      <x:c r="G548" s="43" t="str">
        <x:f>IF(C548="","",CHOOSE(WEEKDAY(C548,2),"Lundi","Mardi","Mercredi","Jeudi","Vendredi","Samedi","Dimanche"))</x:f>
      </x:c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  <x:c r="AA548" s="43"/>
      <x:c r="AB548" s="43"/>
      <x:c r="AC548" s="43"/>
      <x:c r="AD548" s="43"/>
      <x:c r="AE548" s="43"/>
      <x:c r="AF548" s="43"/>
      <x:c r="AG548" s="67"/>
      <x:c r="AH548" s="43"/>
      <x:c r="AI548" s="43"/>
    </x:row>
    <x:row r="549">
      <x:c r="A549" s="43"/>
      <x:c r="B549" s="43"/>
      <x:c r="C549" s="43"/>
      <x:c r="D549" s="43" t="str">
        <x:f>IF(C549="","",YEAR(C549))</x:f>
      </x:c>
      <x:c r="E549" s="43" t="str">
        <x:f>IF(C549="","",MONTH(C549))</x:f>
      </x:c>
      <x:c r="F549" s="43" t="str">
        <x:f>IF(C549="","",WEEKNUM(C549,21))</x:f>
      </x:c>
      <x:c r="G549" s="43" t="str">
        <x:f>IF(C549="","",CHOOSE(WEEKDAY(C549,2),"Lundi","Mardi","Mercredi","Jeudi","Vendredi","Samedi","Dimanche"))</x:f>
      </x:c>
      <x:c r="H549" s="43"/>
      <x:c r="I549" s="43"/>
      <x:c r="J549" s="43"/>
      <x:c r="K549" s="43"/>
      <x:c r="L549" s="43"/>
      <x:c r="M549" s="43"/>
      <x:c r="N549" s="43"/>
      <x:c r="O549" s="43"/>
      <x:c r="P549" s="43"/>
      <x:c r="Q549" s="43"/>
      <x:c r="R549" s="43"/>
      <x:c r="S549" s="43"/>
      <x:c r="T549" s="43"/>
      <x:c r="U549" s="43"/>
      <x:c r="V549" s="43"/>
      <x:c r="W549" s="43"/>
      <x:c r="X549" s="43"/>
      <x:c r="Y549" s="43"/>
      <x:c r="Z549" s="43"/>
      <x:c r="AA549" s="43"/>
      <x:c r="AB549" s="43"/>
      <x:c r="AC549" s="43"/>
      <x:c r="AD549" s="43"/>
      <x:c r="AE549" s="43"/>
      <x:c r="AF549" s="43"/>
      <x:c r="AG549" s="67"/>
      <x:c r="AH549" s="43"/>
      <x:c r="AI549" s="43"/>
    </x:row>
    <x:row r="550">
      <x:c r="A550" s="43"/>
      <x:c r="B550" s="43"/>
      <x:c r="C550" s="43"/>
      <x:c r="D550" s="43" t="str">
        <x:f>IF(C550="","",YEAR(C550))</x:f>
      </x:c>
      <x:c r="E550" s="43" t="str">
        <x:f>IF(C550="","",MONTH(C550))</x:f>
      </x:c>
      <x:c r="F550" s="43" t="str">
        <x:f>IF(C550="","",WEEKNUM(C550,21))</x:f>
      </x:c>
      <x:c r="G550" s="43" t="str">
        <x:f>IF(C550="","",CHOOSE(WEEKDAY(C550,2),"Lundi","Mardi","Mercredi","Jeudi","Vendredi","Samedi","Dimanche"))</x:f>
      </x:c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  <x:c r="AA550" s="43"/>
      <x:c r="AB550" s="43"/>
      <x:c r="AC550" s="43"/>
      <x:c r="AD550" s="43"/>
      <x:c r="AE550" s="43"/>
      <x:c r="AF550" s="43"/>
      <x:c r="AG550" s="67"/>
      <x:c r="AH550" s="43"/>
      <x:c r="AI550" s="43"/>
    </x:row>
    <x:row r="551">
      <x:c r="A551" s="43"/>
      <x:c r="B551" s="43"/>
      <x:c r="C551" s="43"/>
      <x:c r="D551" s="43" t="str">
        <x:f>IF(C551="","",YEAR(C551))</x:f>
      </x:c>
      <x:c r="E551" s="43" t="str">
        <x:f>IF(C551="","",MONTH(C551))</x:f>
      </x:c>
      <x:c r="F551" s="43" t="str">
        <x:f>IF(C551="","",WEEKNUM(C551,21))</x:f>
      </x:c>
      <x:c r="G551" s="43" t="str">
        <x:f>IF(C551="","",CHOOSE(WEEKDAY(C551,2),"Lundi","Mardi","Mercredi","Jeudi","Vendredi","Samedi","Dimanche"))</x:f>
      </x:c>
      <x:c r="H551" s="43"/>
      <x:c r="I551" s="43"/>
      <x:c r="J551" s="43"/>
      <x:c r="K551" s="43"/>
      <x:c r="L551" s="43"/>
      <x:c r="M551" s="43"/>
      <x:c r="N551" s="43"/>
      <x:c r="O551" s="43"/>
      <x:c r="P551" s="43"/>
      <x:c r="Q551" s="43"/>
      <x:c r="R551" s="43"/>
      <x:c r="S551" s="43"/>
      <x:c r="T551" s="43"/>
      <x:c r="U551" s="43"/>
      <x:c r="V551" s="43"/>
      <x:c r="W551" s="43"/>
      <x:c r="X551" s="43"/>
      <x:c r="Y551" s="43"/>
      <x:c r="Z551" s="43"/>
      <x:c r="AA551" s="43"/>
      <x:c r="AB551" s="43"/>
      <x:c r="AC551" s="43"/>
      <x:c r="AD551" s="43"/>
      <x:c r="AE551" s="43"/>
      <x:c r="AF551" s="43"/>
      <x:c r="AG551" s="67"/>
      <x:c r="AH551" s="43"/>
      <x:c r="AI551" s="43"/>
    </x:row>
    <x:row r="552">
      <x:c r="A552" s="43"/>
      <x:c r="B552" s="43"/>
      <x:c r="C552" s="43"/>
      <x:c r="D552" s="43" t="str">
        <x:f>IF(C552="","",YEAR(C552))</x:f>
      </x:c>
      <x:c r="E552" s="43" t="str">
        <x:f>IF(C552="","",MONTH(C552))</x:f>
      </x:c>
      <x:c r="F552" s="43" t="str">
        <x:f>IF(C552="","",WEEKNUM(C552,21))</x:f>
      </x:c>
      <x:c r="G552" s="43" t="str">
        <x:f>IF(C552="","",CHOOSE(WEEKDAY(C552,2),"Lundi","Mardi","Mercredi","Jeudi","Vendredi","Samedi","Dimanche"))</x:f>
      </x:c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  <x:c r="AA552" s="43"/>
      <x:c r="AB552" s="43"/>
      <x:c r="AC552" s="43"/>
      <x:c r="AD552" s="43"/>
      <x:c r="AE552" s="43"/>
      <x:c r="AF552" s="43"/>
      <x:c r="AG552" s="67"/>
      <x:c r="AH552" s="43"/>
      <x:c r="AI552" s="43"/>
    </x:row>
    <x:row r="553">
      <x:c r="A553" s="43"/>
      <x:c r="B553" s="43"/>
      <x:c r="C553" s="43"/>
      <x:c r="D553" s="43" t="str">
        <x:f>IF(C553="","",YEAR(C553))</x:f>
      </x:c>
      <x:c r="E553" s="43" t="str">
        <x:f>IF(C553="","",MONTH(C553))</x:f>
      </x:c>
      <x:c r="F553" s="43" t="str">
        <x:f>IF(C553="","",WEEKNUM(C553,21))</x:f>
      </x:c>
      <x:c r="G553" s="43" t="str">
        <x:f>IF(C553="","",CHOOSE(WEEKDAY(C553,2),"Lundi","Mardi","Mercredi","Jeudi","Vendredi","Samedi","Dimanche"))</x:f>
      </x:c>
      <x:c r="H553" s="43"/>
      <x:c r="I553" s="43"/>
      <x:c r="J553" s="43"/>
      <x:c r="K553" s="43"/>
      <x:c r="L553" s="43"/>
      <x:c r="M553" s="43"/>
      <x:c r="N553" s="43"/>
      <x:c r="O553" s="43"/>
      <x:c r="P553" s="43"/>
      <x:c r="Q553" s="43"/>
      <x:c r="R553" s="43"/>
      <x:c r="S553" s="43"/>
      <x:c r="T553" s="43"/>
      <x:c r="U553" s="43"/>
      <x:c r="V553" s="43"/>
      <x:c r="W553" s="43"/>
      <x:c r="X553" s="43"/>
      <x:c r="Y553" s="43"/>
      <x:c r="Z553" s="43"/>
      <x:c r="AA553" s="43"/>
      <x:c r="AB553" s="43"/>
      <x:c r="AC553" s="43"/>
      <x:c r="AD553" s="43"/>
      <x:c r="AE553" s="43"/>
      <x:c r="AF553" s="43"/>
      <x:c r="AG553" s="67"/>
      <x:c r="AH553" s="43"/>
      <x:c r="AI553" s="43"/>
    </x:row>
    <x:row r="554">
      <x:c r="A554" s="43"/>
      <x:c r="B554" s="43"/>
      <x:c r="C554" s="43"/>
      <x:c r="D554" s="43" t="str">
        <x:f>IF(C554="","",YEAR(C554))</x:f>
      </x:c>
      <x:c r="E554" s="43" t="str">
        <x:f>IF(C554="","",MONTH(C554))</x:f>
      </x:c>
      <x:c r="F554" s="43" t="str">
        <x:f>IF(C554="","",WEEKNUM(C554,21))</x:f>
      </x:c>
      <x:c r="G554" s="43" t="str">
        <x:f>IF(C554="","",CHOOSE(WEEKDAY(C554,2),"Lundi","Mardi","Mercredi","Jeudi","Vendredi","Samedi","Dimanche"))</x:f>
      </x:c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  <x:c r="AA554" s="43"/>
      <x:c r="AB554" s="43"/>
      <x:c r="AC554" s="43"/>
      <x:c r="AD554" s="43"/>
      <x:c r="AE554" s="43"/>
      <x:c r="AF554" s="43"/>
      <x:c r="AG554" s="67"/>
      <x:c r="AH554" s="43"/>
      <x:c r="AI554" s="43"/>
    </x:row>
    <x:row r="555">
      <x:c r="A555" s="43"/>
      <x:c r="B555" s="43"/>
      <x:c r="C555" s="43"/>
      <x:c r="D555" s="43" t="str">
        <x:f>IF(C555="","",YEAR(C555))</x:f>
      </x:c>
      <x:c r="E555" s="43" t="str">
        <x:f>IF(C555="","",MONTH(C555))</x:f>
      </x:c>
      <x:c r="F555" s="43" t="str">
        <x:f>IF(C555="","",WEEKNUM(C555,21))</x:f>
      </x:c>
      <x:c r="G555" s="43" t="str">
        <x:f>IF(C555="","",CHOOSE(WEEKDAY(C555,2),"Lundi","Mardi","Mercredi","Jeudi","Vendredi","Samedi","Dimanche"))</x:f>
      </x:c>
      <x:c r="H555" s="43"/>
      <x:c r="I555" s="43"/>
      <x:c r="J555" s="43"/>
      <x:c r="K555" s="43"/>
      <x:c r="L555" s="43"/>
      <x:c r="M555" s="43"/>
      <x:c r="N555" s="43"/>
      <x:c r="O555" s="43"/>
      <x:c r="P555" s="43"/>
      <x:c r="Q555" s="43"/>
      <x:c r="R555" s="43"/>
      <x:c r="S555" s="43"/>
      <x:c r="T555" s="43"/>
      <x:c r="U555" s="43"/>
      <x:c r="V555" s="43"/>
      <x:c r="W555" s="43"/>
      <x:c r="X555" s="43"/>
      <x:c r="Y555" s="43"/>
      <x:c r="Z555" s="43"/>
      <x:c r="AA555" s="43"/>
      <x:c r="AB555" s="43"/>
      <x:c r="AC555" s="43"/>
      <x:c r="AD555" s="43"/>
      <x:c r="AE555" s="43"/>
      <x:c r="AF555" s="43"/>
      <x:c r="AG555" s="67"/>
      <x:c r="AH555" s="43"/>
      <x:c r="AI555" s="43"/>
    </x:row>
    <x:row r="556">
      <x:c r="A556" s="43"/>
      <x:c r="B556" s="43"/>
      <x:c r="C556" s="43"/>
      <x:c r="D556" s="43" t="str">
        <x:f>IF(C556="","",YEAR(C556))</x:f>
      </x:c>
      <x:c r="E556" s="43" t="str">
        <x:f>IF(C556="","",MONTH(C556))</x:f>
      </x:c>
      <x:c r="F556" s="43" t="str">
        <x:f>IF(C556="","",WEEKNUM(C556,21))</x:f>
      </x:c>
      <x:c r="G556" s="43" t="str">
        <x:f>IF(C556="","",CHOOSE(WEEKDAY(C556,2),"Lundi","Mardi","Mercredi","Jeudi","Vendredi","Samedi","Dimanche"))</x:f>
      </x:c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  <x:c r="AA556" s="43"/>
      <x:c r="AB556" s="43"/>
      <x:c r="AC556" s="43"/>
      <x:c r="AD556" s="43"/>
      <x:c r="AE556" s="43"/>
      <x:c r="AF556" s="43"/>
      <x:c r="AG556" s="67"/>
      <x:c r="AH556" s="43"/>
      <x:c r="AI556" s="43"/>
    </x:row>
    <x:row r="557">
      <x:c r="A557" s="43"/>
      <x:c r="B557" s="43"/>
      <x:c r="C557" s="43"/>
      <x:c r="D557" s="43" t="str">
        <x:f>IF(C557="","",YEAR(C557))</x:f>
      </x:c>
      <x:c r="E557" s="43" t="str">
        <x:f>IF(C557="","",MONTH(C557))</x:f>
      </x:c>
      <x:c r="F557" s="43" t="str">
        <x:f>IF(C557="","",WEEKNUM(C557,21))</x:f>
      </x:c>
      <x:c r="G557" s="43" t="str">
        <x:f>IF(C557="","",CHOOSE(WEEKDAY(C557,2),"Lundi","Mardi","Mercredi","Jeudi","Vendredi","Samedi","Dimanche"))</x:f>
      </x:c>
      <x:c r="H557" s="43"/>
      <x:c r="I557" s="43"/>
      <x:c r="J557" s="43"/>
      <x:c r="K557" s="43"/>
      <x:c r="L557" s="43"/>
      <x:c r="M557" s="43"/>
      <x:c r="N557" s="43"/>
      <x:c r="O557" s="43"/>
      <x:c r="P557" s="43"/>
      <x:c r="Q557" s="43"/>
      <x:c r="R557" s="43"/>
      <x:c r="S557" s="43"/>
      <x:c r="T557" s="43"/>
      <x:c r="U557" s="43"/>
      <x:c r="V557" s="43"/>
      <x:c r="W557" s="43"/>
      <x:c r="X557" s="43"/>
      <x:c r="Y557" s="43"/>
      <x:c r="Z557" s="43"/>
      <x:c r="AA557" s="43"/>
      <x:c r="AB557" s="43"/>
      <x:c r="AC557" s="43"/>
      <x:c r="AD557" s="43"/>
      <x:c r="AE557" s="43"/>
      <x:c r="AF557" s="43"/>
      <x:c r="AG557" s="67"/>
      <x:c r="AH557" s="43"/>
      <x:c r="AI557" s="43"/>
    </x:row>
    <x:row r="558">
      <x:c r="A558" s="43"/>
      <x:c r="B558" s="43"/>
      <x:c r="C558" s="43"/>
      <x:c r="D558" s="43" t="str">
        <x:f>IF(C558="","",YEAR(C558))</x:f>
      </x:c>
      <x:c r="E558" s="43" t="str">
        <x:f>IF(C558="","",MONTH(C558))</x:f>
      </x:c>
      <x:c r="F558" s="43" t="str">
        <x:f>IF(C558="","",WEEKNUM(C558,21))</x:f>
      </x:c>
      <x:c r="G558" s="43" t="str">
        <x:f>IF(C558="","",CHOOSE(WEEKDAY(C558,2),"Lundi","Mardi","Mercredi","Jeudi","Vendredi","Samedi","Dimanche"))</x:f>
      </x:c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  <x:c r="AA558" s="43"/>
      <x:c r="AB558" s="43"/>
      <x:c r="AC558" s="43"/>
      <x:c r="AD558" s="43"/>
      <x:c r="AE558" s="43"/>
      <x:c r="AF558" s="43"/>
      <x:c r="AG558" s="67"/>
      <x:c r="AH558" s="43"/>
      <x:c r="AI558" s="43"/>
    </x:row>
    <x:row r="559">
      <x:c r="A559" s="43"/>
      <x:c r="B559" s="43"/>
      <x:c r="C559" s="43"/>
      <x:c r="D559" s="43" t="str">
        <x:f>IF(C559="","",YEAR(C559))</x:f>
      </x:c>
      <x:c r="E559" s="43" t="str">
        <x:f>IF(C559="","",MONTH(C559))</x:f>
      </x:c>
      <x:c r="F559" s="43" t="str">
        <x:f>IF(C559="","",WEEKNUM(C559,21))</x:f>
      </x:c>
      <x:c r="G559" s="43" t="str">
        <x:f>IF(C559="","",CHOOSE(WEEKDAY(C559,2),"Lundi","Mardi","Mercredi","Jeudi","Vendredi","Samedi","Dimanche"))</x:f>
      </x:c>
      <x:c r="H559" s="43"/>
      <x:c r="I559" s="43"/>
      <x:c r="J559" s="43"/>
      <x:c r="K559" s="43"/>
      <x:c r="L559" s="43"/>
      <x:c r="M559" s="43"/>
      <x:c r="N559" s="43"/>
      <x:c r="O559" s="43"/>
      <x:c r="P559" s="43"/>
      <x:c r="Q559" s="43"/>
      <x:c r="R559" s="43"/>
      <x:c r="S559" s="43"/>
      <x:c r="T559" s="43"/>
      <x:c r="U559" s="43"/>
      <x:c r="V559" s="43"/>
      <x:c r="W559" s="43"/>
      <x:c r="X559" s="43"/>
      <x:c r="Y559" s="43"/>
      <x:c r="Z559" s="43"/>
      <x:c r="AA559" s="43"/>
      <x:c r="AB559" s="43"/>
      <x:c r="AC559" s="43"/>
      <x:c r="AD559" s="43"/>
      <x:c r="AE559" s="43"/>
      <x:c r="AF559" s="43"/>
      <x:c r="AG559" s="67"/>
      <x:c r="AH559" s="43"/>
      <x:c r="AI559" s="43"/>
    </x:row>
    <x:row r="560">
      <x:c r="A560" s="43"/>
      <x:c r="B560" s="43"/>
      <x:c r="C560" s="43"/>
      <x:c r="D560" s="43" t="str">
        <x:f>IF(C560="","",YEAR(C560))</x:f>
      </x:c>
      <x:c r="E560" s="43" t="str">
        <x:f>IF(C560="","",MONTH(C560))</x:f>
      </x:c>
      <x:c r="F560" s="43" t="str">
        <x:f>IF(C560="","",WEEKNUM(C560,21))</x:f>
      </x:c>
      <x:c r="G560" s="43" t="str">
        <x:f>IF(C560="","",CHOOSE(WEEKDAY(C560,2),"Lundi","Mardi","Mercredi","Jeudi","Vendredi","Samedi","Dimanche"))</x:f>
      </x:c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  <x:c r="AA560" s="43"/>
      <x:c r="AB560" s="43"/>
      <x:c r="AC560" s="43"/>
      <x:c r="AD560" s="43"/>
      <x:c r="AE560" s="43"/>
      <x:c r="AF560" s="43"/>
      <x:c r="AG560" s="67"/>
      <x:c r="AH560" s="43"/>
      <x:c r="AI560" s="43"/>
    </x:row>
    <x:row r="561">
      <x:c r="A561" s="43"/>
      <x:c r="B561" s="43"/>
      <x:c r="C561" s="43"/>
      <x:c r="D561" s="43" t="str">
        <x:f>IF(C561="","",YEAR(C561))</x:f>
      </x:c>
      <x:c r="E561" s="43" t="str">
        <x:f>IF(C561="","",MONTH(C561))</x:f>
      </x:c>
      <x:c r="F561" s="43" t="str">
        <x:f>IF(C561="","",WEEKNUM(C561,21))</x:f>
      </x:c>
      <x:c r="G561" s="43" t="str">
        <x:f>IF(C561="","",CHOOSE(WEEKDAY(C561,2),"Lundi","Mardi","Mercredi","Jeudi","Vendredi","Samedi","Dimanche"))</x:f>
      </x:c>
      <x:c r="H561" s="43"/>
      <x:c r="I561" s="43"/>
      <x:c r="J561" s="43"/>
      <x:c r="K561" s="43"/>
      <x:c r="L561" s="43"/>
      <x:c r="M561" s="43"/>
      <x:c r="N561" s="43"/>
      <x:c r="O561" s="43"/>
      <x:c r="P561" s="43"/>
      <x:c r="Q561" s="43"/>
      <x:c r="R561" s="43"/>
      <x:c r="S561" s="43"/>
      <x:c r="T561" s="43"/>
      <x:c r="U561" s="43"/>
      <x:c r="V561" s="43"/>
      <x:c r="W561" s="43"/>
      <x:c r="X561" s="43"/>
      <x:c r="Y561" s="43"/>
      <x:c r="Z561" s="43"/>
      <x:c r="AA561" s="43"/>
      <x:c r="AB561" s="43"/>
      <x:c r="AC561" s="43"/>
      <x:c r="AD561" s="43"/>
      <x:c r="AE561" s="43"/>
      <x:c r="AF561" s="43"/>
      <x:c r="AG561" s="67"/>
      <x:c r="AH561" s="43"/>
      <x:c r="AI561" s="43"/>
    </x:row>
    <x:row r="562">
      <x:c r="A562" s="43"/>
      <x:c r="B562" s="43"/>
      <x:c r="C562" s="43"/>
      <x:c r="D562" s="43" t="str">
        <x:f>IF(C562="","",YEAR(C562))</x:f>
      </x:c>
      <x:c r="E562" s="43" t="str">
        <x:f>IF(C562="","",MONTH(C562))</x:f>
      </x:c>
      <x:c r="F562" s="43" t="str">
        <x:f>IF(C562="","",WEEKNUM(C562,21))</x:f>
      </x:c>
      <x:c r="G562" s="43" t="str">
        <x:f>IF(C562="","",CHOOSE(WEEKDAY(C562,2),"Lundi","Mardi","Mercredi","Jeudi","Vendredi","Samedi","Dimanche"))</x:f>
      </x:c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  <x:c r="AA562" s="43"/>
      <x:c r="AB562" s="43"/>
      <x:c r="AC562" s="43"/>
      <x:c r="AD562" s="43"/>
      <x:c r="AE562" s="43"/>
      <x:c r="AF562" s="43"/>
      <x:c r="AG562" s="67"/>
      <x:c r="AH562" s="43"/>
      <x:c r="AI562" s="43"/>
    </x:row>
    <x:row r="563">
      <x:c r="A563" s="43"/>
      <x:c r="B563" s="43"/>
      <x:c r="C563" s="43"/>
      <x:c r="D563" s="43" t="str">
        <x:f>IF(C563="","",YEAR(C563))</x:f>
      </x:c>
      <x:c r="E563" s="43" t="str">
        <x:f>IF(C563="","",MONTH(C563))</x:f>
      </x:c>
      <x:c r="F563" s="43" t="str">
        <x:f>IF(C563="","",WEEKNUM(C563,21))</x:f>
      </x:c>
      <x:c r="G563" s="43" t="str">
        <x:f>IF(C563="","",CHOOSE(WEEKDAY(C563,2),"Lundi","Mardi","Mercredi","Jeudi","Vendredi","Samedi","Dimanche"))</x:f>
      </x:c>
      <x:c r="H563" s="43"/>
      <x:c r="I563" s="43"/>
      <x:c r="J563" s="43"/>
      <x:c r="K563" s="43"/>
      <x:c r="L563" s="43"/>
      <x:c r="M563" s="43"/>
      <x:c r="N563" s="43"/>
      <x:c r="O563" s="43"/>
      <x:c r="P563" s="43"/>
      <x:c r="Q563" s="43"/>
      <x:c r="R563" s="43"/>
      <x:c r="S563" s="43"/>
      <x:c r="T563" s="43"/>
      <x:c r="U563" s="43"/>
      <x:c r="V563" s="43"/>
      <x:c r="W563" s="43"/>
      <x:c r="X563" s="43"/>
      <x:c r="Y563" s="43"/>
      <x:c r="Z563" s="43"/>
      <x:c r="AA563" s="43"/>
      <x:c r="AB563" s="43"/>
      <x:c r="AC563" s="43"/>
      <x:c r="AD563" s="43"/>
      <x:c r="AE563" s="43"/>
      <x:c r="AF563" s="43"/>
      <x:c r="AG563" s="67"/>
      <x:c r="AH563" s="43"/>
      <x:c r="AI563" s="43"/>
    </x:row>
    <x:row r="564">
      <x:c r="A564" s="43"/>
      <x:c r="B564" s="43"/>
      <x:c r="C564" s="43"/>
      <x:c r="D564" s="43" t="str">
        <x:f>IF(C564="","",YEAR(C564))</x:f>
      </x:c>
      <x:c r="E564" s="43" t="str">
        <x:f>IF(C564="","",MONTH(C564))</x:f>
      </x:c>
      <x:c r="F564" s="43" t="str">
        <x:f>IF(C564="","",WEEKNUM(C564,21))</x:f>
      </x:c>
      <x:c r="G564" s="43" t="str">
        <x:f>IF(C564="","",CHOOSE(WEEKDAY(C564,2),"Lundi","Mardi","Mercredi","Jeudi","Vendredi","Samedi","Dimanche"))</x:f>
      </x:c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  <x:c r="AA564" s="43"/>
      <x:c r="AB564" s="43"/>
      <x:c r="AC564" s="43"/>
      <x:c r="AD564" s="43"/>
      <x:c r="AE564" s="43"/>
      <x:c r="AF564" s="43"/>
      <x:c r="AG564" s="67"/>
      <x:c r="AH564" s="43"/>
      <x:c r="AI564" s="43"/>
    </x:row>
    <x:row r="565">
      <x:c r="A565" s="43"/>
      <x:c r="B565" s="43"/>
      <x:c r="C565" s="43"/>
      <x:c r="D565" s="43" t="str">
        <x:f>IF(C565="","",YEAR(C565))</x:f>
      </x:c>
      <x:c r="E565" s="43" t="str">
        <x:f>IF(C565="","",MONTH(C565))</x:f>
      </x:c>
      <x:c r="F565" s="43" t="str">
        <x:f>IF(C565="","",WEEKNUM(C565,21))</x:f>
      </x:c>
      <x:c r="G565" s="43" t="str">
        <x:f>IF(C565="","",CHOOSE(WEEKDAY(C565,2),"Lundi","Mardi","Mercredi","Jeudi","Vendredi","Samedi","Dimanche"))</x:f>
      </x:c>
      <x:c r="H565" s="43"/>
      <x:c r="I565" s="43"/>
      <x:c r="J565" s="43"/>
      <x:c r="K565" s="43"/>
      <x:c r="L565" s="43"/>
      <x:c r="M565" s="43"/>
      <x:c r="N565" s="43"/>
      <x:c r="O565" s="43"/>
      <x:c r="P565" s="43"/>
      <x:c r="Q565" s="43"/>
      <x:c r="R565" s="43"/>
      <x:c r="S565" s="43"/>
      <x:c r="T565" s="43"/>
      <x:c r="U565" s="43"/>
      <x:c r="V565" s="43"/>
      <x:c r="W565" s="43"/>
      <x:c r="X565" s="43"/>
      <x:c r="Y565" s="43"/>
      <x:c r="Z565" s="43"/>
      <x:c r="AA565" s="43"/>
      <x:c r="AB565" s="43"/>
      <x:c r="AC565" s="43"/>
      <x:c r="AD565" s="43"/>
      <x:c r="AE565" s="43"/>
      <x:c r="AF565" s="43"/>
      <x:c r="AG565" s="67"/>
      <x:c r="AH565" s="43"/>
      <x:c r="AI565" s="43"/>
    </x:row>
    <x:row r="566">
      <x:c r="A566" s="43"/>
      <x:c r="B566" s="43"/>
      <x:c r="C566" s="43"/>
      <x:c r="D566" s="43" t="str">
        <x:f>IF(C566="","",YEAR(C566))</x:f>
      </x:c>
      <x:c r="E566" s="43" t="str">
        <x:f>IF(C566="","",MONTH(C566))</x:f>
      </x:c>
      <x:c r="F566" s="43" t="str">
        <x:f>IF(C566="","",WEEKNUM(C566,21))</x:f>
      </x:c>
      <x:c r="G566" s="43" t="str">
        <x:f>IF(C566="","",CHOOSE(WEEKDAY(C566,2),"Lundi","Mardi","Mercredi","Jeudi","Vendredi","Samedi","Dimanche"))</x:f>
      </x:c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  <x:c r="AA566" s="43"/>
      <x:c r="AB566" s="43"/>
      <x:c r="AC566" s="43"/>
      <x:c r="AD566" s="43"/>
      <x:c r="AE566" s="43"/>
      <x:c r="AF566" s="43"/>
      <x:c r="AG566" s="67"/>
      <x:c r="AH566" s="43"/>
      <x:c r="AI566" s="43"/>
    </x:row>
    <x:row r="567">
      <x:c r="A567" s="43"/>
      <x:c r="B567" s="43"/>
      <x:c r="C567" s="43"/>
      <x:c r="D567" s="43" t="str">
        <x:f>IF(C567="","",YEAR(C567))</x:f>
      </x:c>
      <x:c r="E567" s="43" t="str">
        <x:f>IF(C567="","",MONTH(C567))</x:f>
      </x:c>
      <x:c r="F567" s="43" t="str">
        <x:f>IF(C567="","",WEEKNUM(C567,21))</x:f>
      </x:c>
      <x:c r="G567" s="43" t="str">
        <x:f>IF(C567="","",CHOOSE(WEEKDAY(C567,2),"Lundi","Mardi","Mercredi","Jeudi","Vendredi","Samedi","Dimanche"))</x:f>
      </x:c>
      <x:c r="H567" s="43"/>
      <x:c r="I567" s="43"/>
      <x:c r="J567" s="43"/>
      <x:c r="K567" s="43"/>
      <x:c r="L567" s="43"/>
      <x:c r="M567" s="43"/>
      <x:c r="N567" s="43"/>
      <x:c r="O567" s="43"/>
      <x:c r="P567" s="43"/>
      <x:c r="Q567" s="43"/>
      <x:c r="R567" s="43"/>
      <x:c r="S567" s="43"/>
      <x:c r="T567" s="43"/>
      <x:c r="U567" s="43"/>
      <x:c r="V567" s="43"/>
      <x:c r="W567" s="43"/>
      <x:c r="X567" s="43"/>
      <x:c r="Y567" s="43"/>
      <x:c r="Z567" s="43"/>
      <x:c r="AA567" s="43"/>
      <x:c r="AB567" s="43"/>
      <x:c r="AC567" s="43"/>
      <x:c r="AD567" s="43"/>
      <x:c r="AE567" s="43"/>
      <x:c r="AF567" s="43"/>
      <x:c r="AG567" s="67"/>
      <x:c r="AH567" s="43"/>
      <x:c r="AI567" s="43"/>
    </x:row>
    <x:row r="568">
      <x:c r="A568" s="43"/>
      <x:c r="B568" s="43"/>
      <x:c r="C568" s="43"/>
      <x:c r="D568" s="43" t="str">
        <x:f>IF(C568="","",YEAR(C568))</x:f>
      </x:c>
      <x:c r="E568" s="43" t="str">
        <x:f>IF(C568="","",MONTH(C568))</x:f>
      </x:c>
      <x:c r="F568" s="43" t="str">
        <x:f>IF(C568="","",WEEKNUM(C568,21))</x:f>
      </x:c>
      <x:c r="G568" s="43" t="str">
        <x:f>IF(C568="","",CHOOSE(WEEKDAY(C568,2),"Lundi","Mardi","Mercredi","Jeudi","Vendredi","Samedi","Dimanche"))</x:f>
      </x:c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  <x:c r="AA568" s="43"/>
      <x:c r="AB568" s="43"/>
      <x:c r="AC568" s="43"/>
      <x:c r="AD568" s="43"/>
      <x:c r="AE568" s="43"/>
      <x:c r="AF568" s="43"/>
      <x:c r="AG568" s="67"/>
      <x:c r="AH568" s="43"/>
      <x:c r="AI568" s="43"/>
    </x:row>
    <x:row r="569">
      <x:c r="A569" s="43"/>
      <x:c r="B569" s="43"/>
      <x:c r="C569" s="43"/>
      <x:c r="D569" s="43" t="str">
        <x:f>IF(C569="","",YEAR(C569))</x:f>
      </x:c>
      <x:c r="E569" s="43" t="str">
        <x:f>IF(C569="","",MONTH(C569))</x:f>
      </x:c>
      <x:c r="F569" s="43" t="str">
        <x:f>IF(C569="","",WEEKNUM(C569,21))</x:f>
      </x:c>
      <x:c r="G569" s="43" t="str">
        <x:f>IF(C569="","",CHOOSE(WEEKDAY(C569,2),"Lundi","Mardi","Mercredi","Jeudi","Vendredi","Samedi","Dimanche"))</x:f>
      </x:c>
      <x:c r="H569" s="43"/>
      <x:c r="I569" s="43"/>
      <x:c r="J569" s="43"/>
      <x:c r="K569" s="43"/>
      <x:c r="L569" s="43"/>
      <x:c r="M569" s="43"/>
      <x:c r="N569" s="43"/>
      <x:c r="O569" s="43"/>
      <x:c r="P569" s="43"/>
      <x:c r="Q569" s="43"/>
      <x:c r="R569" s="43"/>
      <x:c r="S569" s="43"/>
      <x:c r="T569" s="43"/>
      <x:c r="U569" s="43"/>
      <x:c r="V569" s="43"/>
      <x:c r="W569" s="43"/>
      <x:c r="X569" s="43"/>
      <x:c r="Y569" s="43"/>
      <x:c r="Z569" s="43"/>
      <x:c r="AA569" s="43"/>
      <x:c r="AB569" s="43"/>
      <x:c r="AC569" s="43"/>
      <x:c r="AD569" s="43"/>
      <x:c r="AE569" s="43"/>
      <x:c r="AF569" s="43"/>
      <x:c r="AG569" s="67"/>
      <x:c r="AH569" s="43"/>
      <x:c r="AI569" s="43"/>
    </x:row>
    <x:row r="570">
      <x:c r="A570" s="43"/>
      <x:c r="B570" s="43"/>
      <x:c r="C570" s="43"/>
      <x:c r="D570" s="43" t="str">
        <x:f>IF(C570="","",YEAR(C570))</x:f>
      </x:c>
      <x:c r="E570" s="43" t="str">
        <x:f>IF(C570="","",MONTH(C570))</x:f>
      </x:c>
      <x:c r="F570" s="43" t="str">
        <x:f>IF(C570="","",WEEKNUM(C570,21))</x:f>
      </x:c>
      <x:c r="G570" s="43" t="str">
        <x:f>IF(C570="","",CHOOSE(WEEKDAY(C570,2),"Lundi","Mardi","Mercredi","Jeudi","Vendredi","Samedi","Dimanche"))</x:f>
      </x:c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  <x:c r="AA570" s="43"/>
      <x:c r="AB570" s="43"/>
      <x:c r="AC570" s="43"/>
      <x:c r="AD570" s="43"/>
      <x:c r="AE570" s="43"/>
      <x:c r="AF570" s="43"/>
      <x:c r="AG570" s="67"/>
      <x:c r="AH570" s="43"/>
      <x:c r="AI570" s="43"/>
    </x:row>
    <x:row r="571">
      <x:c r="A571" s="43"/>
      <x:c r="B571" s="43"/>
      <x:c r="C571" s="43"/>
      <x:c r="D571" s="43" t="str">
        <x:f>IF(C571="","",YEAR(C571))</x:f>
      </x:c>
      <x:c r="E571" s="43" t="str">
        <x:f>IF(C571="","",MONTH(C571))</x:f>
      </x:c>
      <x:c r="F571" s="43" t="str">
        <x:f>IF(C571="","",WEEKNUM(C571,21))</x:f>
      </x:c>
      <x:c r="G571" s="43" t="str">
        <x:f>IF(C571="","",CHOOSE(WEEKDAY(C571,2),"Lundi","Mardi","Mercredi","Jeudi","Vendredi","Samedi","Dimanche"))</x:f>
      </x:c>
      <x:c r="H571" s="43"/>
      <x:c r="I571" s="43"/>
      <x:c r="J571" s="43"/>
      <x:c r="K571" s="43"/>
      <x:c r="L571" s="43"/>
      <x:c r="M571" s="43"/>
      <x:c r="N571" s="43"/>
      <x:c r="O571" s="43"/>
      <x:c r="P571" s="43"/>
      <x:c r="Q571" s="43"/>
      <x:c r="R571" s="43"/>
      <x:c r="S571" s="43"/>
      <x:c r="T571" s="43"/>
      <x:c r="U571" s="43"/>
      <x:c r="V571" s="43"/>
      <x:c r="W571" s="43"/>
      <x:c r="X571" s="43"/>
      <x:c r="Y571" s="43"/>
      <x:c r="Z571" s="43"/>
      <x:c r="AA571" s="43"/>
      <x:c r="AB571" s="43"/>
      <x:c r="AC571" s="43"/>
      <x:c r="AD571" s="43"/>
      <x:c r="AE571" s="43"/>
      <x:c r="AF571" s="43"/>
      <x:c r="AG571" s="67"/>
      <x:c r="AH571" s="43"/>
      <x:c r="AI571" s="43"/>
    </x:row>
    <x:row r="572">
      <x:c r="A572" s="43"/>
      <x:c r="B572" s="43"/>
      <x:c r="C572" s="43"/>
      <x:c r="D572" s="43" t="str">
        <x:f>IF(C572="","",YEAR(C572))</x:f>
      </x:c>
      <x:c r="E572" s="43" t="str">
        <x:f>IF(C572="","",MONTH(C572))</x:f>
      </x:c>
      <x:c r="F572" s="43" t="str">
        <x:f>IF(C572="","",WEEKNUM(C572,21))</x:f>
      </x:c>
      <x:c r="G572" s="43" t="str">
        <x:f>IF(C572="","",CHOOSE(WEEKDAY(C572,2),"Lundi","Mardi","Mercredi","Jeudi","Vendredi","Samedi","Dimanche"))</x:f>
      </x:c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  <x:c r="AA572" s="43"/>
      <x:c r="AB572" s="43"/>
      <x:c r="AC572" s="43"/>
      <x:c r="AD572" s="43"/>
      <x:c r="AE572" s="43"/>
      <x:c r="AF572" s="43"/>
      <x:c r="AG572" s="67"/>
      <x:c r="AH572" s="43"/>
      <x:c r="AI572" s="43"/>
    </x:row>
    <x:row r="573">
      <x:c r="A573" s="43"/>
      <x:c r="B573" s="43"/>
      <x:c r="C573" s="43"/>
      <x:c r="D573" s="43" t="str">
        <x:f>IF(C573="","",YEAR(C573))</x:f>
      </x:c>
      <x:c r="E573" s="43" t="str">
        <x:f>IF(C573="","",MONTH(C573))</x:f>
      </x:c>
      <x:c r="F573" s="43" t="str">
        <x:f>IF(C573="","",WEEKNUM(C573,21))</x:f>
      </x:c>
      <x:c r="G573" s="43" t="str">
        <x:f>IF(C573="","",CHOOSE(WEEKDAY(C573,2),"Lundi","Mardi","Mercredi","Jeudi","Vendredi","Samedi","Dimanche"))</x:f>
      </x:c>
      <x:c r="H573" s="43"/>
      <x:c r="I573" s="43"/>
      <x:c r="J573" s="43"/>
      <x:c r="K573" s="43"/>
      <x:c r="L573" s="43"/>
      <x:c r="M573" s="43"/>
      <x:c r="N573" s="43"/>
      <x:c r="O573" s="43"/>
      <x:c r="P573" s="43"/>
      <x:c r="Q573" s="43"/>
      <x:c r="R573" s="43"/>
      <x:c r="S573" s="43"/>
      <x:c r="T573" s="43"/>
      <x:c r="U573" s="43"/>
      <x:c r="V573" s="43"/>
      <x:c r="W573" s="43"/>
      <x:c r="X573" s="43"/>
      <x:c r="Y573" s="43"/>
      <x:c r="Z573" s="43"/>
      <x:c r="AA573" s="43"/>
      <x:c r="AB573" s="43"/>
      <x:c r="AC573" s="43"/>
      <x:c r="AD573" s="43"/>
      <x:c r="AE573" s="43"/>
      <x:c r="AF573" s="43"/>
      <x:c r="AG573" s="67"/>
      <x:c r="AH573" s="43"/>
      <x:c r="AI573" s="43"/>
    </x:row>
    <x:row r="574">
      <x:c r="A574" s="43"/>
      <x:c r="B574" s="43"/>
      <x:c r="C574" s="43"/>
      <x:c r="D574" s="43" t="str">
        <x:f>IF(C574="","",YEAR(C574))</x:f>
      </x:c>
      <x:c r="E574" s="43" t="str">
        <x:f>IF(C574="","",MONTH(C574))</x:f>
      </x:c>
      <x:c r="F574" s="43" t="str">
        <x:f>IF(C574="","",WEEKNUM(C574,21))</x:f>
      </x:c>
      <x:c r="G574" s="43" t="str">
        <x:f>IF(C574="","",CHOOSE(WEEKDAY(C574,2),"Lundi","Mardi","Mercredi","Jeudi","Vendredi","Samedi","Dimanche"))</x:f>
      </x:c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  <x:c r="AA574" s="43"/>
      <x:c r="AB574" s="43"/>
      <x:c r="AC574" s="43"/>
      <x:c r="AD574" s="43"/>
      <x:c r="AE574" s="43"/>
      <x:c r="AF574" s="43"/>
      <x:c r="AG574" s="67"/>
      <x:c r="AH574" s="43"/>
      <x:c r="AI574" s="43"/>
    </x:row>
    <x:row r="575">
      <x:c r="A575" s="43"/>
      <x:c r="B575" s="43"/>
      <x:c r="C575" s="43"/>
      <x:c r="D575" s="43" t="str">
        <x:f>IF(C575="","",YEAR(C575))</x:f>
      </x:c>
      <x:c r="E575" s="43" t="str">
        <x:f>IF(C575="","",MONTH(C575))</x:f>
      </x:c>
      <x:c r="F575" s="43" t="str">
        <x:f>IF(C575="","",WEEKNUM(C575,21))</x:f>
      </x:c>
      <x:c r="G575" s="43" t="str">
        <x:f>IF(C575="","",CHOOSE(WEEKDAY(C575,2),"Lundi","Mardi","Mercredi","Jeudi","Vendredi","Samedi","Dimanche"))</x:f>
      </x:c>
      <x:c r="H575" s="43"/>
      <x:c r="I575" s="43"/>
      <x:c r="J575" s="43"/>
      <x:c r="K575" s="43"/>
      <x:c r="L575" s="43"/>
      <x:c r="M575" s="43"/>
      <x:c r="N575" s="43"/>
      <x:c r="O575" s="43"/>
      <x:c r="P575" s="43"/>
      <x:c r="Q575" s="43"/>
      <x:c r="R575" s="43"/>
      <x:c r="S575" s="43"/>
      <x:c r="T575" s="43"/>
      <x:c r="U575" s="43"/>
      <x:c r="V575" s="43"/>
      <x:c r="W575" s="43"/>
      <x:c r="X575" s="43"/>
      <x:c r="Y575" s="43"/>
      <x:c r="Z575" s="43"/>
      <x:c r="AA575" s="43"/>
      <x:c r="AB575" s="43"/>
      <x:c r="AC575" s="43"/>
      <x:c r="AD575" s="43"/>
      <x:c r="AE575" s="43"/>
      <x:c r="AF575" s="43"/>
      <x:c r="AG575" s="67"/>
      <x:c r="AH575" s="43"/>
      <x:c r="AI575" s="43"/>
    </x:row>
    <x:row r="576">
      <x:c r="A576" s="43"/>
      <x:c r="B576" s="43"/>
      <x:c r="C576" s="43"/>
      <x:c r="D576" s="43" t="str">
        <x:f>IF(C576="","",YEAR(C576))</x:f>
      </x:c>
      <x:c r="E576" s="43" t="str">
        <x:f>IF(C576="","",MONTH(C576))</x:f>
      </x:c>
      <x:c r="F576" s="43" t="str">
        <x:f>IF(C576="","",WEEKNUM(C576,21))</x:f>
      </x:c>
      <x:c r="G576" s="43" t="str">
        <x:f>IF(C576="","",CHOOSE(WEEKDAY(C576,2),"Lundi","Mardi","Mercredi","Jeudi","Vendredi","Samedi","Dimanche"))</x:f>
      </x:c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  <x:c r="AA576" s="43"/>
      <x:c r="AB576" s="43"/>
      <x:c r="AC576" s="43"/>
      <x:c r="AD576" s="43"/>
      <x:c r="AE576" s="43"/>
      <x:c r="AF576" s="43"/>
      <x:c r="AG576" s="67"/>
      <x:c r="AH576" s="43"/>
      <x:c r="AI576" s="43"/>
    </x:row>
    <x:row r="577">
      <x:c r="A577" s="43"/>
      <x:c r="B577" s="43"/>
      <x:c r="C577" s="43"/>
      <x:c r="D577" s="43" t="str">
        <x:f>IF(C577="","",YEAR(C577))</x:f>
      </x:c>
      <x:c r="E577" s="43" t="str">
        <x:f>IF(C577="","",MONTH(C577))</x:f>
      </x:c>
      <x:c r="F577" s="43" t="str">
        <x:f>IF(C577="","",WEEKNUM(C577,21))</x:f>
      </x:c>
      <x:c r="G577" s="43" t="str">
        <x:f>IF(C577="","",CHOOSE(WEEKDAY(C577,2),"Lundi","Mardi","Mercredi","Jeudi","Vendredi","Samedi","Dimanche"))</x:f>
      </x:c>
      <x:c r="H577" s="43"/>
      <x:c r="I577" s="43"/>
      <x:c r="J577" s="43"/>
      <x:c r="K577" s="43"/>
      <x:c r="L577" s="43"/>
      <x:c r="M577" s="43"/>
      <x:c r="N577" s="43"/>
      <x:c r="O577" s="43"/>
      <x:c r="P577" s="43"/>
      <x:c r="Q577" s="43"/>
      <x:c r="R577" s="43"/>
      <x:c r="S577" s="43"/>
      <x:c r="T577" s="43"/>
      <x:c r="U577" s="43"/>
      <x:c r="V577" s="43"/>
      <x:c r="W577" s="43"/>
      <x:c r="X577" s="43"/>
      <x:c r="Y577" s="43"/>
      <x:c r="Z577" s="43"/>
      <x:c r="AA577" s="43"/>
      <x:c r="AB577" s="43"/>
      <x:c r="AC577" s="43"/>
      <x:c r="AD577" s="43"/>
      <x:c r="AE577" s="43"/>
      <x:c r="AF577" s="43"/>
      <x:c r="AG577" s="67"/>
      <x:c r="AH577" s="43"/>
      <x:c r="AI577" s="43"/>
    </x:row>
    <x:row r="578">
      <x:c r="A578" s="43"/>
      <x:c r="B578" s="43"/>
      <x:c r="C578" s="43"/>
      <x:c r="D578" s="43" t="str">
        <x:f>IF(C578="","",YEAR(C578))</x:f>
      </x:c>
      <x:c r="E578" s="43" t="str">
        <x:f>IF(C578="","",MONTH(C578))</x:f>
      </x:c>
      <x:c r="F578" s="43" t="str">
        <x:f>IF(C578="","",WEEKNUM(C578,21))</x:f>
      </x:c>
      <x:c r="G578" s="43" t="str">
        <x:f>IF(C578="","",CHOOSE(WEEKDAY(C578,2),"Lundi","Mardi","Mercredi","Jeudi","Vendredi","Samedi","Dimanche"))</x:f>
      </x:c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  <x:c r="AA578" s="43"/>
      <x:c r="AB578" s="43"/>
      <x:c r="AC578" s="43"/>
      <x:c r="AD578" s="43"/>
      <x:c r="AE578" s="43"/>
      <x:c r="AF578" s="43"/>
      <x:c r="AG578" s="67"/>
      <x:c r="AH578" s="43"/>
      <x:c r="AI578" s="43"/>
    </x:row>
    <x:row r="579">
      <x:c r="A579" s="43"/>
      <x:c r="B579" s="43"/>
      <x:c r="C579" s="43"/>
      <x:c r="D579" s="43" t="str">
        <x:f>IF(C579="","",YEAR(C579))</x:f>
      </x:c>
      <x:c r="E579" s="43" t="str">
        <x:f>IF(C579="","",MONTH(C579))</x:f>
      </x:c>
      <x:c r="F579" s="43" t="str">
        <x:f>IF(C579="","",WEEKNUM(C579,21))</x:f>
      </x:c>
      <x:c r="G579" s="43" t="str">
        <x:f>IF(C579="","",CHOOSE(WEEKDAY(C579,2),"Lundi","Mardi","Mercredi","Jeudi","Vendredi","Samedi","Dimanche"))</x:f>
      </x:c>
      <x:c r="H579" s="43"/>
      <x:c r="I579" s="43"/>
      <x:c r="J579" s="43"/>
      <x:c r="K579" s="43"/>
      <x:c r="L579" s="43"/>
      <x:c r="M579" s="43"/>
      <x:c r="N579" s="43"/>
      <x:c r="O579" s="43"/>
      <x:c r="P579" s="43"/>
      <x:c r="Q579" s="43"/>
      <x:c r="R579" s="43"/>
      <x:c r="S579" s="43"/>
      <x:c r="T579" s="43"/>
      <x:c r="U579" s="43"/>
      <x:c r="V579" s="43"/>
      <x:c r="W579" s="43"/>
      <x:c r="X579" s="43"/>
      <x:c r="Y579" s="43"/>
      <x:c r="Z579" s="43"/>
      <x:c r="AA579" s="43"/>
      <x:c r="AB579" s="43"/>
      <x:c r="AC579" s="43"/>
      <x:c r="AD579" s="43"/>
      <x:c r="AE579" s="43"/>
      <x:c r="AF579" s="43"/>
      <x:c r="AG579" s="67"/>
      <x:c r="AH579" s="43"/>
      <x:c r="AI579" s="43"/>
    </x:row>
    <x:row r="580">
      <x:c r="A580" s="43"/>
      <x:c r="B580" s="43"/>
      <x:c r="C580" s="43"/>
      <x:c r="D580" s="43" t="str">
        <x:f>IF(C580="","",YEAR(C580))</x:f>
      </x:c>
      <x:c r="E580" s="43" t="str">
        <x:f>IF(C580="","",MONTH(C580))</x:f>
      </x:c>
      <x:c r="F580" s="43" t="str">
        <x:f>IF(C580="","",WEEKNUM(C580,21))</x:f>
      </x:c>
      <x:c r="G580" s="43" t="str">
        <x:f>IF(C580="","",CHOOSE(WEEKDAY(C580,2),"Lundi","Mardi","Mercredi","Jeudi","Vendredi","Samedi","Dimanche"))</x:f>
      </x:c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  <x:c r="AA580" s="43"/>
      <x:c r="AB580" s="43"/>
      <x:c r="AC580" s="43"/>
      <x:c r="AD580" s="43"/>
      <x:c r="AE580" s="43"/>
      <x:c r="AF580" s="43"/>
      <x:c r="AG580" s="67"/>
      <x:c r="AH580" s="43"/>
      <x:c r="AI580" s="43"/>
    </x:row>
    <x:row r="581">
      <x:c r="A581" s="43"/>
      <x:c r="B581" s="43"/>
      <x:c r="C581" s="43"/>
      <x:c r="D581" s="43" t="str">
        <x:f>IF(C581="","",YEAR(C581))</x:f>
      </x:c>
      <x:c r="E581" s="43" t="str">
        <x:f>IF(C581="","",MONTH(C581))</x:f>
      </x:c>
      <x:c r="F581" s="43" t="str">
        <x:f>IF(C581="","",WEEKNUM(C581,21))</x:f>
      </x:c>
      <x:c r="G581" s="43" t="str">
        <x:f>IF(C581="","",CHOOSE(WEEKDAY(C581,2),"Lundi","Mardi","Mercredi","Jeudi","Vendredi","Samedi","Dimanche"))</x:f>
      </x:c>
      <x:c r="H581" s="43"/>
      <x:c r="I581" s="43"/>
      <x:c r="J581" s="43"/>
      <x:c r="K581" s="43"/>
      <x:c r="L581" s="43"/>
      <x:c r="M581" s="43"/>
      <x:c r="N581" s="43"/>
      <x:c r="O581" s="43"/>
      <x:c r="P581" s="43"/>
      <x:c r="Q581" s="43"/>
      <x:c r="R581" s="43"/>
      <x:c r="S581" s="43"/>
      <x:c r="T581" s="43"/>
      <x:c r="U581" s="43"/>
      <x:c r="V581" s="43"/>
      <x:c r="W581" s="43"/>
      <x:c r="X581" s="43"/>
      <x:c r="Y581" s="43"/>
      <x:c r="Z581" s="43"/>
      <x:c r="AA581" s="43"/>
      <x:c r="AB581" s="43"/>
      <x:c r="AC581" s="43"/>
      <x:c r="AD581" s="43"/>
      <x:c r="AE581" s="43"/>
      <x:c r="AF581" s="43"/>
      <x:c r="AG581" s="67"/>
      <x:c r="AH581" s="43"/>
      <x:c r="AI581" s="43"/>
    </x:row>
    <x:row r="582">
      <x:c r="A582" s="43"/>
      <x:c r="B582" s="43"/>
      <x:c r="C582" s="43"/>
      <x:c r="D582" s="43" t="str">
        <x:f>IF(C582="","",YEAR(C582))</x:f>
      </x:c>
      <x:c r="E582" s="43" t="str">
        <x:f>IF(C582="","",MONTH(C582))</x:f>
      </x:c>
      <x:c r="F582" s="43" t="str">
        <x:f>IF(C582="","",WEEKNUM(C582,21))</x:f>
      </x:c>
      <x:c r="G582" s="43" t="str">
        <x:f>IF(C582="","",CHOOSE(WEEKDAY(C582,2),"Lundi","Mardi","Mercredi","Jeudi","Vendredi","Samedi","Dimanche"))</x:f>
      </x:c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  <x:c r="AA582" s="43"/>
      <x:c r="AB582" s="43"/>
      <x:c r="AC582" s="43"/>
      <x:c r="AD582" s="43"/>
      <x:c r="AE582" s="43"/>
      <x:c r="AF582" s="43"/>
      <x:c r="AG582" s="67"/>
      <x:c r="AH582" s="43"/>
      <x:c r="AI582" s="43"/>
    </x:row>
    <x:row r="583">
      <x:c r="A583" s="43"/>
      <x:c r="B583" s="43"/>
      <x:c r="C583" s="43"/>
      <x:c r="D583" s="43" t="str">
        <x:f>IF(C583="","",YEAR(C583))</x:f>
      </x:c>
      <x:c r="E583" s="43" t="str">
        <x:f>IF(C583="","",MONTH(C583))</x:f>
      </x:c>
      <x:c r="F583" s="43" t="str">
        <x:f>IF(C583="","",WEEKNUM(C583,21))</x:f>
      </x:c>
      <x:c r="G583" s="43" t="str">
        <x:f>IF(C583="","",CHOOSE(WEEKDAY(C583,2),"Lundi","Mardi","Mercredi","Jeudi","Vendredi","Samedi","Dimanche"))</x:f>
      </x:c>
      <x:c r="H583" s="43"/>
      <x:c r="I583" s="43"/>
      <x:c r="J583" s="43"/>
      <x:c r="K583" s="43"/>
      <x:c r="L583" s="43"/>
      <x:c r="M583" s="43"/>
      <x:c r="N583" s="43"/>
      <x:c r="O583" s="43"/>
      <x:c r="P583" s="43"/>
      <x:c r="Q583" s="43"/>
      <x:c r="R583" s="43"/>
      <x:c r="S583" s="43"/>
      <x:c r="T583" s="43"/>
      <x:c r="U583" s="43"/>
      <x:c r="V583" s="43"/>
      <x:c r="W583" s="43"/>
      <x:c r="X583" s="43"/>
      <x:c r="Y583" s="43"/>
      <x:c r="Z583" s="43"/>
      <x:c r="AA583" s="43"/>
      <x:c r="AB583" s="43"/>
      <x:c r="AC583" s="43"/>
      <x:c r="AD583" s="43"/>
      <x:c r="AE583" s="43"/>
      <x:c r="AF583" s="43"/>
      <x:c r="AG583" s="67"/>
      <x:c r="AH583" s="43"/>
      <x:c r="AI583" s="43"/>
    </x:row>
    <x:row r="584">
      <x:c r="A584" s="43"/>
      <x:c r="B584" s="43"/>
      <x:c r="C584" s="43"/>
      <x:c r="D584" s="43" t="str">
        <x:f>IF(C584="","",YEAR(C584))</x:f>
      </x:c>
      <x:c r="E584" s="43" t="str">
        <x:f>IF(C584="","",MONTH(C584))</x:f>
      </x:c>
      <x:c r="F584" s="43" t="str">
        <x:f>IF(C584="","",WEEKNUM(C584,21))</x:f>
      </x:c>
      <x:c r="G584" s="43" t="str">
        <x:f>IF(C584="","",CHOOSE(WEEKDAY(C584,2),"Lundi","Mardi","Mercredi","Jeudi","Vendredi","Samedi","Dimanche"))</x:f>
      </x:c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  <x:c r="AA584" s="43"/>
      <x:c r="AB584" s="43"/>
      <x:c r="AC584" s="43"/>
      <x:c r="AD584" s="43"/>
      <x:c r="AE584" s="43"/>
      <x:c r="AF584" s="43"/>
      <x:c r="AG584" s="67"/>
      <x:c r="AH584" s="43"/>
      <x:c r="AI584" s="43"/>
    </x:row>
    <x:row r="585">
      <x:c r="A585" s="43"/>
      <x:c r="B585" s="43"/>
      <x:c r="C585" s="43"/>
      <x:c r="D585" s="43" t="str">
        <x:f>IF(C585="","",YEAR(C585))</x:f>
      </x:c>
      <x:c r="E585" s="43" t="str">
        <x:f>IF(C585="","",MONTH(C585))</x:f>
      </x:c>
      <x:c r="F585" s="43" t="str">
        <x:f>IF(C585="","",WEEKNUM(C585,21))</x:f>
      </x:c>
      <x:c r="G585" s="43" t="str">
        <x:f>IF(C585="","",CHOOSE(WEEKDAY(C585,2),"Lundi","Mardi","Mercredi","Jeudi","Vendredi","Samedi","Dimanche"))</x:f>
      </x:c>
      <x:c r="H585" s="43"/>
      <x:c r="I585" s="43"/>
      <x:c r="J585" s="43"/>
      <x:c r="K585" s="43"/>
      <x:c r="L585" s="43"/>
      <x:c r="M585" s="43"/>
      <x:c r="N585" s="43"/>
      <x:c r="O585" s="43"/>
      <x:c r="P585" s="43"/>
      <x:c r="Q585" s="43"/>
      <x:c r="R585" s="43"/>
      <x:c r="S585" s="43"/>
      <x:c r="T585" s="43"/>
      <x:c r="U585" s="43"/>
      <x:c r="V585" s="43"/>
      <x:c r="W585" s="43"/>
      <x:c r="X585" s="43"/>
      <x:c r="Y585" s="43"/>
      <x:c r="Z585" s="43"/>
      <x:c r="AA585" s="43"/>
      <x:c r="AB585" s="43"/>
      <x:c r="AC585" s="43"/>
      <x:c r="AD585" s="43"/>
      <x:c r="AE585" s="43"/>
      <x:c r="AF585" s="43"/>
      <x:c r="AG585" s="67"/>
      <x:c r="AH585" s="43"/>
      <x:c r="AI585" s="43"/>
    </x:row>
    <x:row r="586">
      <x:c r="A586" s="43"/>
      <x:c r="B586" s="43"/>
      <x:c r="C586" s="43"/>
      <x:c r="D586" s="43" t="str">
        <x:f>IF(C586="","",YEAR(C586))</x:f>
      </x:c>
      <x:c r="E586" s="43" t="str">
        <x:f>IF(C586="","",MONTH(C586))</x:f>
      </x:c>
      <x:c r="F586" s="43" t="str">
        <x:f>IF(C586="","",WEEKNUM(C586,21))</x:f>
      </x:c>
      <x:c r="G586" s="43" t="str">
        <x:f>IF(C586="","",CHOOSE(WEEKDAY(C586,2),"Lundi","Mardi","Mercredi","Jeudi","Vendredi","Samedi","Dimanche"))</x:f>
      </x:c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  <x:c r="AA586" s="43"/>
      <x:c r="AB586" s="43"/>
      <x:c r="AC586" s="43"/>
      <x:c r="AD586" s="43"/>
      <x:c r="AE586" s="43"/>
      <x:c r="AF586" s="43"/>
      <x:c r="AG586" s="67"/>
      <x:c r="AH586" s="43"/>
      <x:c r="AI586" s="43"/>
    </x:row>
    <x:row r="587">
      <x:c r="A587" s="43"/>
      <x:c r="B587" s="43"/>
      <x:c r="C587" s="43"/>
      <x:c r="D587" s="43" t="str">
        <x:f>IF(C587="","",YEAR(C587))</x:f>
      </x:c>
      <x:c r="E587" s="43" t="str">
        <x:f>IF(C587="","",MONTH(C587))</x:f>
      </x:c>
      <x:c r="F587" s="43" t="str">
        <x:f>IF(C587="","",WEEKNUM(C587,21))</x:f>
      </x:c>
      <x:c r="G587" s="43" t="str">
        <x:f>IF(C587="","",CHOOSE(WEEKDAY(C587,2),"Lundi","Mardi","Mercredi","Jeudi","Vendredi","Samedi","Dimanche"))</x:f>
      </x:c>
      <x:c r="H587" s="43"/>
      <x:c r="I587" s="43"/>
      <x:c r="J587" s="43"/>
      <x:c r="K587" s="43"/>
      <x:c r="L587" s="43"/>
      <x:c r="M587" s="43"/>
      <x:c r="N587" s="43"/>
      <x:c r="O587" s="43"/>
      <x:c r="P587" s="43"/>
      <x:c r="Q587" s="43"/>
      <x:c r="R587" s="43"/>
      <x:c r="S587" s="43"/>
      <x:c r="T587" s="43"/>
      <x:c r="U587" s="43"/>
      <x:c r="V587" s="43"/>
      <x:c r="W587" s="43"/>
      <x:c r="X587" s="43"/>
      <x:c r="Y587" s="43"/>
      <x:c r="Z587" s="43"/>
      <x:c r="AA587" s="43"/>
      <x:c r="AB587" s="43"/>
      <x:c r="AC587" s="43"/>
      <x:c r="AD587" s="43"/>
      <x:c r="AE587" s="43"/>
      <x:c r="AF587" s="43"/>
      <x:c r="AG587" s="67"/>
      <x:c r="AH587" s="43"/>
      <x:c r="AI587" s="43"/>
    </x:row>
    <x:row r="588">
      <x:c r="A588" s="43"/>
      <x:c r="B588" s="43"/>
      <x:c r="C588" s="43"/>
      <x:c r="D588" s="43" t="str">
        <x:f>IF(C588="","",YEAR(C588))</x:f>
      </x:c>
      <x:c r="E588" s="43" t="str">
        <x:f>IF(C588="","",MONTH(C588))</x:f>
      </x:c>
      <x:c r="F588" s="43" t="str">
        <x:f>IF(C588="","",WEEKNUM(C588,21))</x:f>
      </x:c>
      <x:c r="G588" s="43" t="str">
        <x:f>IF(C588="","",CHOOSE(WEEKDAY(C588,2),"Lundi","Mardi","Mercredi","Jeudi","Vendredi","Samedi","Dimanche"))</x:f>
      </x:c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  <x:c r="AA588" s="43"/>
      <x:c r="AB588" s="43"/>
      <x:c r="AC588" s="43"/>
      <x:c r="AD588" s="43"/>
      <x:c r="AE588" s="43"/>
      <x:c r="AF588" s="43"/>
      <x:c r="AG588" s="67"/>
      <x:c r="AH588" s="43"/>
      <x:c r="AI588" s="43"/>
    </x:row>
    <x:row r="589">
      <x:c r="A589" s="43"/>
      <x:c r="B589" s="43"/>
      <x:c r="C589" s="43"/>
      <x:c r="D589" s="43" t="str">
        <x:f>IF(C589="","",YEAR(C589))</x:f>
      </x:c>
      <x:c r="E589" s="43" t="str">
        <x:f>IF(C589="","",MONTH(C589))</x:f>
      </x:c>
      <x:c r="F589" s="43" t="str">
        <x:f>IF(C589="","",WEEKNUM(C589,21))</x:f>
      </x:c>
      <x:c r="G589" s="43" t="str">
        <x:f>IF(C589="","",CHOOSE(WEEKDAY(C589,2),"Lundi","Mardi","Mercredi","Jeudi","Vendredi","Samedi","Dimanche"))</x:f>
      </x:c>
      <x:c r="H589" s="43"/>
      <x:c r="I589" s="43"/>
      <x:c r="J589" s="43"/>
      <x:c r="K589" s="43"/>
      <x:c r="L589" s="43"/>
      <x:c r="M589" s="43"/>
      <x:c r="N589" s="43"/>
      <x:c r="O589" s="43"/>
      <x:c r="P589" s="43"/>
      <x:c r="Q589" s="43"/>
      <x:c r="R589" s="43"/>
      <x:c r="S589" s="43"/>
      <x:c r="T589" s="43"/>
      <x:c r="U589" s="43"/>
      <x:c r="V589" s="43"/>
      <x:c r="W589" s="43"/>
      <x:c r="X589" s="43"/>
      <x:c r="Y589" s="43"/>
      <x:c r="Z589" s="43"/>
      <x:c r="AA589" s="43"/>
      <x:c r="AB589" s="43"/>
      <x:c r="AC589" s="43"/>
      <x:c r="AD589" s="43"/>
      <x:c r="AE589" s="43"/>
      <x:c r="AF589" s="43"/>
      <x:c r="AG589" s="67"/>
      <x:c r="AH589" s="43"/>
      <x:c r="AI589" s="43"/>
    </x:row>
    <x:row r="590">
      <x:c r="A590" s="43"/>
      <x:c r="B590" s="43"/>
      <x:c r="C590" s="43"/>
      <x:c r="D590" s="43" t="str">
        <x:f>IF(C590="","",YEAR(C590))</x:f>
      </x:c>
      <x:c r="E590" s="43" t="str">
        <x:f>IF(C590="","",MONTH(C590))</x:f>
      </x:c>
      <x:c r="F590" s="43" t="str">
        <x:f>IF(C590="","",WEEKNUM(C590,21))</x:f>
      </x:c>
      <x:c r="G590" s="43" t="str">
        <x:f>IF(C590="","",CHOOSE(WEEKDAY(C590,2),"Lundi","Mardi","Mercredi","Jeudi","Vendredi","Samedi","Dimanche"))</x:f>
      </x:c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  <x:c r="AA590" s="43"/>
      <x:c r="AB590" s="43"/>
      <x:c r="AC590" s="43"/>
      <x:c r="AD590" s="43"/>
      <x:c r="AE590" s="43"/>
      <x:c r="AF590" s="43"/>
      <x:c r="AG590" s="67"/>
      <x:c r="AH590" s="43"/>
      <x:c r="AI590" s="43"/>
    </x:row>
    <x:row r="591">
      <x:c r="A591" s="43"/>
      <x:c r="B591" s="43"/>
      <x:c r="C591" s="43"/>
      <x:c r="D591" s="43" t="str">
        <x:f>IF(C591="","",YEAR(C591))</x:f>
      </x:c>
      <x:c r="E591" s="43" t="str">
        <x:f>IF(C591="","",MONTH(C591))</x:f>
      </x:c>
      <x:c r="F591" s="43" t="str">
        <x:f>IF(C591="","",WEEKNUM(C591,21))</x:f>
      </x:c>
      <x:c r="G591" s="43" t="str">
        <x:f>IF(C591="","",CHOOSE(WEEKDAY(C591,2),"Lundi","Mardi","Mercredi","Jeudi","Vendredi","Samedi","Dimanche"))</x:f>
      </x:c>
      <x:c r="H591" s="43"/>
      <x:c r="I591" s="43"/>
      <x:c r="J591" s="43"/>
      <x:c r="K591" s="43"/>
      <x:c r="L591" s="43"/>
      <x:c r="M591" s="43"/>
      <x:c r="N591" s="43"/>
      <x:c r="O591" s="43"/>
      <x:c r="P591" s="43"/>
      <x:c r="Q591" s="43"/>
      <x:c r="R591" s="43"/>
      <x:c r="S591" s="43"/>
      <x:c r="T591" s="43"/>
      <x:c r="U591" s="43"/>
      <x:c r="V591" s="43"/>
      <x:c r="W591" s="43"/>
      <x:c r="X591" s="43"/>
      <x:c r="Y591" s="43"/>
      <x:c r="Z591" s="43"/>
      <x:c r="AA591" s="43"/>
      <x:c r="AB591" s="43"/>
      <x:c r="AC591" s="43"/>
      <x:c r="AD591" s="43"/>
      <x:c r="AE591" s="43"/>
      <x:c r="AF591" s="43"/>
      <x:c r="AG591" s="67"/>
      <x:c r="AH591" s="43"/>
      <x:c r="AI591" s="43"/>
    </x:row>
    <x:row r="592">
      <x:c r="A592" s="43"/>
      <x:c r="B592" s="43"/>
      <x:c r="C592" s="43"/>
      <x:c r="D592" s="43" t="str">
        <x:f>IF(C592="","",YEAR(C592))</x:f>
      </x:c>
      <x:c r="E592" s="43" t="str">
        <x:f>IF(C592="","",MONTH(C592))</x:f>
      </x:c>
      <x:c r="F592" s="43" t="str">
        <x:f>IF(C592="","",WEEKNUM(C592,21))</x:f>
      </x:c>
      <x:c r="G592" s="43" t="str">
        <x:f>IF(C592="","",CHOOSE(WEEKDAY(C592,2),"Lundi","Mardi","Mercredi","Jeudi","Vendredi","Samedi","Dimanche"))</x:f>
      </x:c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  <x:c r="AA592" s="43"/>
      <x:c r="AB592" s="43"/>
      <x:c r="AC592" s="43"/>
      <x:c r="AD592" s="43"/>
      <x:c r="AE592" s="43"/>
      <x:c r="AF592" s="43"/>
      <x:c r="AG592" s="67"/>
      <x:c r="AH592" s="43"/>
      <x:c r="AI592" s="43"/>
    </x:row>
    <x:row r="593">
      <x:c r="A593" s="43"/>
      <x:c r="B593" s="43"/>
      <x:c r="C593" s="43"/>
      <x:c r="D593" s="43" t="str">
        <x:f>IF(C593="","",YEAR(C593))</x:f>
      </x:c>
      <x:c r="E593" s="43" t="str">
        <x:f>IF(C593="","",MONTH(C593))</x:f>
      </x:c>
      <x:c r="F593" s="43" t="str">
        <x:f>IF(C593="","",WEEKNUM(C593,21))</x:f>
      </x:c>
      <x:c r="G593" s="43" t="str">
        <x:f>IF(C593="","",CHOOSE(WEEKDAY(C593,2),"Lundi","Mardi","Mercredi","Jeudi","Vendredi","Samedi","Dimanche"))</x:f>
      </x:c>
      <x:c r="H593" s="43"/>
      <x:c r="I593" s="43"/>
      <x:c r="J593" s="43"/>
      <x:c r="K593" s="43"/>
      <x:c r="L593" s="43"/>
      <x:c r="M593" s="43"/>
      <x:c r="N593" s="43"/>
      <x:c r="O593" s="43"/>
      <x:c r="P593" s="43"/>
      <x:c r="Q593" s="43"/>
      <x:c r="R593" s="43"/>
      <x:c r="S593" s="43"/>
      <x:c r="T593" s="43"/>
      <x:c r="U593" s="43"/>
      <x:c r="V593" s="43"/>
      <x:c r="W593" s="43"/>
      <x:c r="X593" s="43"/>
      <x:c r="Y593" s="43"/>
      <x:c r="Z593" s="43"/>
      <x:c r="AA593" s="43"/>
      <x:c r="AB593" s="43"/>
      <x:c r="AC593" s="43"/>
      <x:c r="AD593" s="43"/>
      <x:c r="AE593" s="43"/>
      <x:c r="AF593" s="43"/>
      <x:c r="AG593" s="67"/>
      <x:c r="AH593" s="43"/>
      <x:c r="AI593" s="43"/>
    </x:row>
    <x:row r="594">
      <x:c r="A594" s="43"/>
      <x:c r="B594" s="43"/>
      <x:c r="C594" s="43"/>
      <x:c r="D594" s="43" t="str">
        <x:f>IF(C594="","",YEAR(C594))</x:f>
      </x:c>
      <x:c r="E594" s="43" t="str">
        <x:f>IF(C594="","",MONTH(C594))</x:f>
      </x:c>
      <x:c r="F594" s="43" t="str">
        <x:f>IF(C594="","",WEEKNUM(C594,21))</x:f>
      </x:c>
      <x:c r="G594" s="43" t="str">
        <x:f>IF(C594="","",CHOOSE(WEEKDAY(C594,2),"Lundi","Mardi","Mercredi","Jeudi","Vendredi","Samedi","Dimanche"))</x:f>
      </x:c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  <x:c r="AA594" s="43"/>
      <x:c r="AB594" s="43"/>
      <x:c r="AC594" s="43"/>
      <x:c r="AD594" s="43"/>
      <x:c r="AE594" s="43"/>
      <x:c r="AF594" s="43"/>
      <x:c r="AG594" s="67"/>
      <x:c r="AH594" s="43"/>
      <x:c r="AI594" s="43"/>
    </x:row>
    <x:row r="595">
      <x:c r="A595" s="43"/>
      <x:c r="B595" s="43"/>
      <x:c r="C595" s="43"/>
      <x:c r="D595" s="43" t="str">
        <x:f>IF(C595="","",YEAR(C595))</x:f>
      </x:c>
      <x:c r="E595" s="43" t="str">
        <x:f>IF(C595="","",MONTH(C595))</x:f>
      </x:c>
      <x:c r="F595" s="43" t="str">
        <x:f>IF(C595="","",WEEKNUM(C595,21))</x:f>
      </x:c>
      <x:c r="G595" s="43" t="str">
        <x:f>IF(C595="","",CHOOSE(WEEKDAY(C595,2),"Lundi","Mardi","Mercredi","Jeudi","Vendredi","Samedi","Dimanche"))</x:f>
      </x:c>
      <x:c r="H595" s="43"/>
      <x:c r="I595" s="43"/>
      <x:c r="J595" s="43"/>
      <x:c r="K595" s="43"/>
      <x:c r="L595" s="43"/>
      <x:c r="M595" s="43"/>
      <x:c r="N595" s="43"/>
      <x:c r="O595" s="43"/>
      <x:c r="P595" s="43"/>
      <x:c r="Q595" s="43"/>
      <x:c r="R595" s="43"/>
      <x:c r="S595" s="43"/>
      <x:c r="T595" s="43"/>
      <x:c r="U595" s="43"/>
      <x:c r="V595" s="43"/>
      <x:c r="W595" s="43"/>
      <x:c r="X595" s="43"/>
      <x:c r="Y595" s="43"/>
      <x:c r="Z595" s="43"/>
      <x:c r="AA595" s="43"/>
      <x:c r="AB595" s="43"/>
      <x:c r="AC595" s="43"/>
      <x:c r="AD595" s="43"/>
      <x:c r="AE595" s="43"/>
      <x:c r="AF595" s="43"/>
      <x:c r="AG595" s="67"/>
      <x:c r="AH595" s="43"/>
      <x:c r="AI595" s="43"/>
    </x:row>
    <x:row r="596">
      <x:c r="A596" s="43"/>
      <x:c r="B596" s="43"/>
      <x:c r="C596" s="43"/>
      <x:c r="D596" s="43" t="str">
        <x:f>IF(C596="","",YEAR(C596))</x:f>
      </x:c>
      <x:c r="E596" s="43" t="str">
        <x:f>IF(C596="","",MONTH(C596))</x:f>
      </x:c>
      <x:c r="F596" s="43" t="str">
        <x:f>IF(C596="","",WEEKNUM(C596,21))</x:f>
      </x:c>
      <x:c r="G596" s="43" t="str">
        <x:f>IF(C596="","",CHOOSE(WEEKDAY(C596,2),"Lundi","Mardi","Mercredi","Jeudi","Vendredi","Samedi","Dimanche"))</x:f>
      </x:c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  <x:c r="AA596" s="43"/>
      <x:c r="AB596" s="43"/>
      <x:c r="AC596" s="43"/>
      <x:c r="AD596" s="43"/>
      <x:c r="AE596" s="43"/>
      <x:c r="AF596" s="43"/>
      <x:c r="AG596" s="67"/>
      <x:c r="AH596" s="43"/>
      <x:c r="AI596" s="43"/>
    </x:row>
    <x:row r="597">
      <x:c r="A597" s="43"/>
      <x:c r="B597" s="43"/>
      <x:c r="C597" s="43"/>
      <x:c r="D597" s="43" t="str">
        <x:f>IF(C597="","",YEAR(C597))</x:f>
      </x:c>
      <x:c r="E597" s="43" t="str">
        <x:f>IF(C597="","",MONTH(C597))</x:f>
      </x:c>
      <x:c r="F597" s="43" t="str">
        <x:f>IF(C597="","",WEEKNUM(C597,21))</x:f>
      </x:c>
      <x:c r="G597" s="43" t="str">
        <x:f>IF(C597="","",CHOOSE(WEEKDAY(C597,2),"Lundi","Mardi","Mercredi","Jeudi","Vendredi","Samedi","Dimanche"))</x:f>
      </x:c>
      <x:c r="H597" s="43"/>
      <x:c r="I597" s="43"/>
      <x:c r="J597" s="43"/>
      <x:c r="K597" s="43"/>
      <x:c r="L597" s="43"/>
      <x:c r="M597" s="43"/>
      <x:c r="N597" s="43"/>
      <x:c r="O597" s="43"/>
      <x:c r="P597" s="43"/>
      <x:c r="Q597" s="43"/>
      <x:c r="R597" s="43"/>
      <x:c r="S597" s="43"/>
      <x:c r="T597" s="43"/>
      <x:c r="U597" s="43"/>
      <x:c r="V597" s="43"/>
      <x:c r="W597" s="43"/>
      <x:c r="X597" s="43"/>
      <x:c r="Y597" s="43"/>
      <x:c r="Z597" s="43"/>
      <x:c r="AA597" s="43"/>
      <x:c r="AB597" s="43"/>
      <x:c r="AC597" s="43"/>
      <x:c r="AD597" s="43"/>
      <x:c r="AE597" s="43"/>
      <x:c r="AF597" s="43"/>
      <x:c r="AG597" s="67"/>
      <x:c r="AH597" s="43"/>
      <x:c r="AI597" s="43"/>
    </x:row>
    <x:row r="598">
      <x:c r="A598" s="43"/>
      <x:c r="B598" s="43"/>
      <x:c r="C598" s="43"/>
      <x:c r="D598" s="43" t="str">
        <x:f>IF(C598="","",YEAR(C598))</x:f>
      </x:c>
      <x:c r="E598" s="43" t="str">
        <x:f>IF(C598="","",MONTH(C598))</x:f>
      </x:c>
      <x:c r="F598" s="43" t="str">
        <x:f>IF(C598="","",WEEKNUM(C598,21))</x:f>
      </x:c>
      <x:c r="G598" s="43" t="str">
        <x:f>IF(C598="","",CHOOSE(WEEKDAY(C598,2),"Lundi","Mardi","Mercredi","Jeudi","Vendredi","Samedi","Dimanche"))</x:f>
      </x:c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  <x:c r="AA598" s="43"/>
      <x:c r="AB598" s="43"/>
      <x:c r="AC598" s="43"/>
      <x:c r="AD598" s="43"/>
      <x:c r="AE598" s="43"/>
      <x:c r="AF598" s="43"/>
      <x:c r="AG598" s="67"/>
      <x:c r="AH598" s="43"/>
      <x:c r="AI598" s="43"/>
    </x:row>
    <x:row r="599">
      <x:c r="A599" s="43"/>
      <x:c r="B599" s="43"/>
      <x:c r="C599" s="43"/>
      <x:c r="D599" s="43" t="str">
        <x:f>IF(C599="","",YEAR(C599))</x:f>
      </x:c>
      <x:c r="E599" s="43" t="str">
        <x:f>IF(C599="","",MONTH(C599))</x:f>
      </x:c>
      <x:c r="F599" s="43" t="str">
        <x:f>IF(C599="","",WEEKNUM(C599,21))</x:f>
      </x:c>
      <x:c r="G599" s="43" t="str">
        <x:f>IF(C599="","",CHOOSE(WEEKDAY(C599,2),"Lundi","Mardi","Mercredi","Jeudi","Vendredi","Samedi","Dimanche"))</x:f>
      </x:c>
      <x:c r="H599" s="43"/>
      <x:c r="I599" s="43"/>
      <x:c r="J599" s="43"/>
      <x:c r="K599" s="43"/>
      <x:c r="L599" s="43"/>
      <x:c r="M599" s="43"/>
      <x:c r="N599" s="43"/>
      <x:c r="O599" s="43"/>
      <x:c r="P599" s="43"/>
      <x:c r="Q599" s="43"/>
      <x:c r="R599" s="43"/>
      <x:c r="S599" s="43"/>
      <x:c r="T599" s="43"/>
      <x:c r="U599" s="43"/>
      <x:c r="V599" s="43"/>
      <x:c r="W599" s="43"/>
      <x:c r="X599" s="43"/>
      <x:c r="Y599" s="43"/>
      <x:c r="Z599" s="43"/>
      <x:c r="AA599" s="43"/>
      <x:c r="AB599" s="43"/>
      <x:c r="AC599" s="43"/>
      <x:c r="AD599" s="43"/>
      <x:c r="AE599" s="43"/>
      <x:c r="AF599" s="43"/>
      <x:c r="AG599" s="67"/>
      <x:c r="AH599" s="43"/>
      <x:c r="AI599" s="43"/>
    </x:row>
    <x:row r="600">
      <x:c r="A600" s="43"/>
      <x:c r="B600" s="43"/>
      <x:c r="C600" s="43"/>
      <x:c r="D600" s="43" t="str">
        <x:f>IF(C600="","",YEAR(C600))</x:f>
      </x:c>
      <x:c r="E600" s="43" t="str">
        <x:f>IF(C600="","",MONTH(C600))</x:f>
      </x:c>
      <x:c r="F600" s="43" t="str">
        <x:f>IF(C600="","",WEEKNUM(C600,21))</x:f>
      </x:c>
      <x:c r="G600" s="43" t="str">
        <x:f>IF(C600="","",CHOOSE(WEEKDAY(C600,2),"Lundi","Mardi","Mercredi","Jeudi","Vendredi","Samedi","Dimanche"))</x:f>
      </x:c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  <x:c r="AA600" s="43"/>
      <x:c r="AB600" s="43"/>
      <x:c r="AC600" s="43"/>
      <x:c r="AD600" s="43"/>
      <x:c r="AE600" s="43"/>
      <x:c r="AF600" s="43"/>
      <x:c r="AG600" s="67"/>
      <x:c r="AH600" s="43"/>
      <x:c r="AI600" s="43"/>
    </x:row>
    <x:row r="601">
      <x:c r="A601" s="43"/>
      <x:c r="B601" s="43"/>
      <x:c r="C601" s="43"/>
      <x:c r="D601" s="43" t="str">
        <x:f>IF(C601="","",YEAR(C601))</x:f>
      </x:c>
      <x:c r="E601" s="43" t="str">
        <x:f>IF(C601="","",MONTH(C601))</x:f>
      </x:c>
      <x:c r="F601" s="43" t="str">
        <x:f>IF(C601="","",WEEKNUM(C601,21))</x:f>
      </x:c>
      <x:c r="G601" s="43" t="str">
        <x:f>IF(C601="","",CHOOSE(WEEKDAY(C601,2),"Lundi","Mardi","Mercredi","Jeudi","Vendredi","Samedi","Dimanche"))</x:f>
      </x:c>
      <x:c r="H601" s="43"/>
      <x:c r="I601" s="43"/>
      <x:c r="J601" s="43"/>
      <x:c r="K601" s="43"/>
      <x:c r="L601" s="43"/>
      <x:c r="M601" s="43"/>
      <x:c r="N601" s="43"/>
      <x:c r="O601" s="43"/>
      <x:c r="P601" s="43"/>
      <x:c r="Q601" s="43"/>
      <x:c r="R601" s="43"/>
      <x:c r="S601" s="43"/>
      <x:c r="T601" s="43"/>
      <x:c r="U601" s="43"/>
      <x:c r="V601" s="43"/>
      <x:c r="W601" s="43"/>
      <x:c r="X601" s="43"/>
      <x:c r="Y601" s="43"/>
      <x:c r="Z601" s="43"/>
      <x:c r="AA601" s="43"/>
      <x:c r="AB601" s="43"/>
      <x:c r="AC601" s="43"/>
      <x:c r="AD601" s="43"/>
      <x:c r="AE601" s="43"/>
      <x:c r="AF601" s="43"/>
      <x:c r="AG601" s="67"/>
      <x:c r="AH601" s="43"/>
      <x:c r="AI601" s="43"/>
    </x:row>
    <x:row r="602">
      <x:c r="A602" s="43"/>
      <x:c r="B602" s="43"/>
      <x:c r="C602" s="43"/>
      <x:c r="D602" s="43" t="str">
        <x:f>IF(C602="","",YEAR(C602))</x:f>
      </x:c>
      <x:c r="E602" s="43" t="str">
        <x:f>IF(C602="","",MONTH(C602))</x:f>
      </x:c>
      <x:c r="F602" s="43" t="str">
        <x:f>IF(C602="","",WEEKNUM(C602,21))</x:f>
      </x:c>
      <x:c r="G602" s="43" t="str">
        <x:f>IF(C602="","",CHOOSE(WEEKDAY(C602,2),"Lundi","Mardi","Mercredi","Jeudi","Vendredi","Samedi","Dimanche"))</x:f>
      </x:c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  <x:c r="AA602" s="43"/>
      <x:c r="AB602" s="43"/>
      <x:c r="AC602" s="43"/>
      <x:c r="AD602" s="43"/>
      <x:c r="AE602" s="43"/>
      <x:c r="AF602" s="43"/>
      <x:c r="AG602" s="67"/>
      <x:c r="AH602" s="43"/>
      <x:c r="AI602" s="43"/>
    </x:row>
    <x:row r="603">
      <x:c r="A603" s="43"/>
      <x:c r="B603" s="43"/>
      <x:c r="C603" s="43"/>
      <x:c r="D603" s="43" t="str">
        <x:f>IF(C603="","",YEAR(C603))</x:f>
      </x:c>
      <x:c r="E603" s="43" t="str">
        <x:f>IF(C603="","",MONTH(C603))</x:f>
      </x:c>
      <x:c r="F603" s="43" t="str">
        <x:f>IF(C603="","",WEEKNUM(C603,21))</x:f>
      </x:c>
      <x:c r="G603" s="43" t="str">
        <x:f>IF(C603="","",CHOOSE(WEEKDAY(C603,2),"Lundi","Mardi","Mercredi","Jeudi","Vendredi","Samedi","Dimanche"))</x:f>
      </x:c>
      <x:c r="H603" s="43"/>
      <x:c r="I603" s="43"/>
      <x:c r="J603" s="43"/>
      <x:c r="K603" s="43"/>
      <x:c r="L603" s="43"/>
      <x:c r="M603" s="43"/>
      <x:c r="N603" s="43"/>
      <x:c r="O603" s="43"/>
      <x:c r="P603" s="43"/>
      <x:c r="Q603" s="43"/>
      <x:c r="R603" s="43"/>
      <x:c r="S603" s="43"/>
      <x:c r="T603" s="43"/>
      <x:c r="U603" s="43"/>
      <x:c r="V603" s="43"/>
      <x:c r="W603" s="43"/>
      <x:c r="X603" s="43"/>
      <x:c r="Y603" s="43"/>
      <x:c r="Z603" s="43"/>
      <x:c r="AA603" s="43"/>
      <x:c r="AB603" s="43"/>
      <x:c r="AC603" s="43"/>
      <x:c r="AD603" s="43"/>
      <x:c r="AE603" s="43"/>
      <x:c r="AF603" s="43"/>
      <x:c r="AG603" s="67"/>
      <x:c r="AH603" s="43"/>
      <x:c r="AI603" s="43"/>
    </x:row>
    <x:row r="604">
      <x:c r="A604" s="43"/>
      <x:c r="B604" s="43"/>
      <x:c r="C604" s="43"/>
      <x:c r="D604" s="43" t="str">
        <x:f>IF(C604="","",YEAR(C604))</x:f>
      </x:c>
      <x:c r="E604" s="43" t="str">
        <x:f>IF(C604="","",MONTH(C604))</x:f>
      </x:c>
      <x:c r="F604" s="43" t="str">
        <x:f>IF(C604="","",WEEKNUM(C604,21))</x:f>
      </x:c>
      <x:c r="G604" s="43" t="str">
        <x:f>IF(C604="","",CHOOSE(WEEKDAY(C604,2),"Lundi","Mardi","Mercredi","Jeudi","Vendredi","Samedi","Dimanche"))</x:f>
      </x:c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  <x:c r="AA604" s="43"/>
      <x:c r="AB604" s="43"/>
      <x:c r="AC604" s="43"/>
      <x:c r="AD604" s="43"/>
      <x:c r="AE604" s="43"/>
      <x:c r="AF604" s="43"/>
      <x:c r="AG604" s="67"/>
      <x:c r="AH604" s="43"/>
      <x:c r="AI604" s="43"/>
    </x:row>
    <x:row r="605">
      <x:c r="A605" s="43"/>
      <x:c r="B605" s="43"/>
      <x:c r="C605" s="43"/>
      <x:c r="D605" s="43" t="str">
        <x:f>IF(C605="","",YEAR(C605))</x:f>
      </x:c>
      <x:c r="E605" s="43" t="str">
        <x:f>IF(C605="","",MONTH(C605))</x:f>
      </x:c>
      <x:c r="F605" s="43" t="str">
        <x:f>IF(C605="","",WEEKNUM(C605,21))</x:f>
      </x:c>
      <x:c r="G605" s="43" t="str">
        <x:f>IF(C605="","",CHOOSE(WEEKDAY(C605,2),"Lundi","Mardi","Mercredi","Jeudi","Vendredi","Samedi","Dimanche"))</x:f>
      </x:c>
      <x:c r="H605" s="43"/>
      <x:c r="I605" s="43"/>
      <x:c r="J605" s="43"/>
      <x:c r="K605" s="43"/>
      <x:c r="L605" s="43"/>
      <x:c r="M605" s="43"/>
      <x:c r="N605" s="43"/>
      <x:c r="O605" s="43"/>
      <x:c r="P605" s="43"/>
      <x:c r="Q605" s="43"/>
      <x:c r="R605" s="43"/>
      <x:c r="S605" s="43"/>
      <x:c r="T605" s="43"/>
      <x:c r="U605" s="43"/>
      <x:c r="V605" s="43"/>
      <x:c r="W605" s="43"/>
      <x:c r="X605" s="43"/>
      <x:c r="Y605" s="43"/>
      <x:c r="Z605" s="43"/>
      <x:c r="AA605" s="43"/>
      <x:c r="AB605" s="43"/>
      <x:c r="AC605" s="43"/>
      <x:c r="AD605" s="43"/>
      <x:c r="AE605" s="43"/>
      <x:c r="AF605" s="43"/>
      <x:c r="AG605" s="67"/>
      <x:c r="AH605" s="43"/>
      <x:c r="AI605" s="43"/>
    </x:row>
    <x:row r="606">
      <x:c r="A606" s="43"/>
      <x:c r="B606" s="43"/>
      <x:c r="C606" s="43"/>
      <x:c r="D606" s="43" t="str">
        <x:f>IF(C606="","",YEAR(C606))</x:f>
      </x:c>
      <x:c r="E606" s="43" t="str">
        <x:f>IF(C606="","",MONTH(C606))</x:f>
      </x:c>
      <x:c r="F606" s="43" t="str">
        <x:f>IF(C606="","",WEEKNUM(C606,21))</x:f>
      </x:c>
      <x:c r="G606" s="43" t="str">
        <x:f>IF(C606="","",CHOOSE(WEEKDAY(C606,2),"Lundi","Mardi","Mercredi","Jeudi","Vendredi","Samedi","Dimanche"))</x:f>
      </x:c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  <x:c r="AA606" s="43"/>
      <x:c r="AB606" s="43"/>
      <x:c r="AC606" s="43"/>
      <x:c r="AD606" s="43"/>
      <x:c r="AE606" s="43"/>
      <x:c r="AF606" s="43"/>
      <x:c r="AG606" s="67"/>
      <x:c r="AH606" s="43"/>
      <x:c r="AI606" s="43"/>
    </x:row>
    <x:row r="607">
      <x:c r="A607" s="43"/>
      <x:c r="B607" s="43"/>
      <x:c r="C607" s="43"/>
      <x:c r="D607" s="43" t="str">
        <x:f>IF(C607="","",YEAR(C607))</x:f>
      </x:c>
      <x:c r="E607" s="43" t="str">
        <x:f>IF(C607="","",MONTH(C607))</x:f>
      </x:c>
      <x:c r="F607" s="43" t="str">
        <x:f>IF(C607="","",WEEKNUM(C607,21))</x:f>
      </x:c>
      <x:c r="G607" s="43" t="str">
        <x:f>IF(C607="","",CHOOSE(WEEKDAY(C607,2),"Lundi","Mardi","Mercredi","Jeudi","Vendredi","Samedi","Dimanche"))</x:f>
      </x:c>
      <x:c r="H607" s="43"/>
      <x:c r="I607" s="43"/>
      <x:c r="J607" s="43"/>
      <x:c r="K607" s="43"/>
      <x:c r="L607" s="43"/>
      <x:c r="M607" s="43"/>
      <x:c r="N607" s="43"/>
      <x:c r="O607" s="43"/>
      <x:c r="P607" s="43"/>
      <x:c r="Q607" s="43"/>
      <x:c r="R607" s="43"/>
      <x:c r="S607" s="43"/>
      <x:c r="T607" s="43"/>
      <x:c r="U607" s="43"/>
      <x:c r="V607" s="43"/>
      <x:c r="W607" s="43"/>
      <x:c r="X607" s="43"/>
      <x:c r="Y607" s="43"/>
      <x:c r="Z607" s="43"/>
      <x:c r="AA607" s="43"/>
      <x:c r="AB607" s="43"/>
      <x:c r="AC607" s="43"/>
      <x:c r="AD607" s="43"/>
      <x:c r="AE607" s="43"/>
      <x:c r="AF607" s="43"/>
      <x:c r="AG607" s="67"/>
      <x:c r="AH607" s="43"/>
      <x:c r="AI607" s="43"/>
    </x:row>
    <x:row r="608">
      <x:c r="A608" s="43"/>
      <x:c r="B608" s="43"/>
      <x:c r="C608" s="43"/>
      <x:c r="D608" s="43" t="str">
        <x:f>IF(C608="","",YEAR(C608))</x:f>
      </x:c>
      <x:c r="E608" s="43" t="str">
        <x:f>IF(C608="","",MONTH(C608))</x:f>
      </x:c>
      <x:c r="F608" s="43" t="str">
        <x:f>IF(C608="","",WEEKNUM(C608,21))</x:f>
      </x:c>
      <x:c r="G608" s="43" t="str">
        <x:f>IF(C608="","",CHOOSE(WEEKDAY(C608,2),"Lundi","Mardi","Mercredi","Jeudi","Vendredi","Samedi","Dimanche"))</x:f>
      </x:c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  <x:c r="AA608" s="43"/>
      <x:c r="AB608" s="43"/>
      <x:c r="AC608" s="43"/>
      <x:c r="AD608" s="43"/>
      <x:c r="AE608" s="43"/>
      <x:c r="AF608" s="43"/>
      <x:c r="AG608" s="67"/>
      <x:c r="AH608" s="43"/>
      <x:c r="AI608" s="43"/>
    </x:row>
    <x:row r="609">
      <x:c r="A609" s="43"/>
      <x:c r="B609" s="43"/>
      <x:c r="C609" s="43"/>
      <x:c r="D609" s="43" t="str">
        <x:f>IF(C609="","",YEAR(C609))</x:f>
      </x:c>
      <x:c r="E609" s="43" t="str">
        <x:f>IF(C609="","",MONTH(C609))</x:f>
      </x:c>
      <x:c r="F609" s="43" t="str">
        <x:f>IF(C609="","",WEEKNUM(C609,21))</x:f>
      </x:c>
      <x:c r="G609" s="43" t="str">
        <x:f>IF(C609="","",CHOOSE(WEEKDAY(C609,2),"Lundi","Mardi","Mercredi","Jeudi","Vendredi","Samedi","Dimanche"))</x:f>
      </x:c>
      <x:c r="H609" s="43"/>
      <x:c r="I609" s="43"/>
      <x:c r="J609" s="43"/>
      <x:c r="K609" s="43"/>
      <x:c r="L609" s="43"/>
      <x:c r="M609" s="43"/>
      <x:c r="N609" s="43"/>
      <x:c r="O609" s="43"/>
      <x:c r="P609" s="43"/>
      <x:c r="Q609" s="43"/>
      <x:c r="R609" s="43"/>
      <x:c r="S609" s="43"/>
      <x:c r="T609" s="43"/>
      <x:c r="U609" s="43"/>
      <x:c r="V609" s="43"/>
      <x:c r="W609" s="43"/>
      <x:c r="X609" s="43"/>
      <x:c r="Y609" s="43"/>
      <x:c r="Z609" s="43"/>
      <x:c r="AA609" s="43"/>
      <x:c r="AB609" s="43"/>
      <x:c r="AC609" s="43"/>
      <x:c r="AD609" s="43"/>
      <x:c r="AE609" s="43"/>
      <x:c r="AF609" s="43"/>
      <x:c r="AG609" s="67"/>
      <x:c r="AH609" s="43"/>
      <x:c r="AI609" s="43"/>
    </x:row>
    <x:row r="610">
      <x:c r="A610" s="43"/>
      <x:c r="B610" s="43"/>
      <x:c r="C610" s="43"/>
      <x:c r="D610" s="43" t="str">
        <x:f>IF(C610="","",YEAR(C610))</x:f>
      </x:c>
      <x:c r="E610" s="43" t="str">
        <x:f>IF(C610="","",MONTH(C610))</x:f>
      </x:c>
      <x:c r="F610" s="43" t="str">
        <x:f>IF(C610="","",WEEKNUM(C610,21))</x:f>
      </x:c>
      <x:c r="G610" s="43" t="str">
        <x:f>IF(C610="","",CHOOSE(WEEKDAY(C610,2),"Lundi","Mardi","Mercredi","Jeudi","Vendredi","Samedi","Dimanche"))</x:f>
      </x:c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  <x:c r="AA610" s="43"/>
      <x:c r="AB610" s="43"/>
      <x:c r="AC610" s="43"/>
      <x:c r="AD610" s="43"/>
      <x:c r="AE610" s="43"/>
      <x:c r="AF610" s="43"/>
      <x:c r="AG610" s="67"/>
      <x:c r="AH610" s="43"/>
      <x:c r="AI610" s="43"/>
    </x:row>
    <x:row r="611">
      <x:c r="A611" s="43"/>
      <x:c r="B611" s="43"/>
      <x:c r="C611" s="43"/>
      <x:c r="D611" s="43" t="str">
        <x:f>IF(C611="","",YEAR(C611))</x:f>
      </x:c>
      <x:c r="E611" s="43" t="str">
        <x:f>IF(C611="","",MONTH(C611))</x:f>
      </x:c>
      <x:c r="F611" s="43" t="str">
        <x:f>IF(C611="","",WEEKNUM(C611,21))</x:f>
      </x:c>
      <x:c r="G611" s="43" t="str">
        <x:f>IF(C611="","",CHOOSE(WEEKDAY(C611,2),"Lundi","Mardi","Mercredi","Jeudi","Vendredi","Samedi","Dimanche"))</x:f>
      </x:c>
      <x:c r="H611" s="43"/>
      <x:c r="I611" s="43"/>
      <x:c r="J611" s="43"/>
      <x:c r="K611" s="43"/>
      <x:c r="L611" s="43"/>
      <x:c r="M611" s="43"/>
      <x:c r="N611" s="43"/>
      <x:c r="O611" s="43"/>
      <x:c r="P611" s="43"/>
      <x:c r="Q611" s="43"/>
      <x:c r="R611" s="43"/>
      <x:c r="S611" s="43"/>
      <x:c r="T611" s="43"/>
      <x:c r="U611" s="43"/>
      <x:c r="V611" s="43"/>
      <x:c r="W611" s="43"/>
      <x:c r="X611" s="43"/>
      <x:c r="Y611" s="43"/>
      <x:c r="Z611" s="43"/>
      <x:c r="AA611" s="43"/>
      <x:c r="AB611" s="43"/>
      <x:c r="AC611" s="43"/>
      <x:c r="AD611" s="43"/>
      <x:c r="AE611" s="43"/>
      <x:c r="AF611" s="43"/>
      <x:c r="AG611" s="67"/>
      <x:c r="AH611" s="43"/>
      <x:c r="AI611" s="43"/>
    </x:row>
    <x:row r="612">
      <x:c r="A612" s="43"/>
      <x:c r="B612" s="43"/>
      <x:c r="C612" s="43"/>
      <x:c r="D612" s="43" t="str">
        <x:f>IF(C612="","",YEAR(C612))</x:f>
      </x:c>
      <x:c r="E612" s="43" t="str">
        <x:f>IF(C612="","",MONTH(C612))</x:f>
      </x:c>
      <x:c r="F612" s="43" t="str">
        <x:f>IF(C612="","",WEEKNUM(C612,21))</x:f>
      </x:c>
      <x:c r="G612" s="43" t="str">
        <x:f>IF(C612="","",CHOOSE(WEEKDAY(C612,2),"Lundi","Mardi","Mercredi","Jeudi","Vendredi","Samedi","Dimanche"))</x:f>
      </x:c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  <x:c r="AA612" s="43"/>
      <x:c r="AB612" s="43"/>
      <x:c r="AC612" s="43"/>
      <x:c r="AD612" s="43"/>
      <x:c r="AE612" s="43"/>
      <x:c r="AF612" s="43"/>
      <x:c r="AG612" s="67"/>
      <x:c r="AH612" s="43"/>
      <x:c r="AI612" s="43"/>
    </x:row>
    <x:row r="613">
      <x:c r="A613" s="43"/>
      <x:c r="B613" s="43"/>
      <x:c r="C613" s="43"/>
      <x:c r="D613" s="43" t="str">
        <x:f>IF(C613="","",YEAR(C613))</x:f>
      </x:c>
      <x:c r="E613" s="43" t="str">
        <x:f>IF(C613="","",MONTH(C613))</x:f>
      </x:c>
      <x:c r="F613" s="43" t="str">
        <x:f>IF(C613="","",WEEKNUM(C613,21))</x:f>
      </x:c>
      <x:c r="G613" s="43" t="str">
        <x:f>IF(C613="","",CHOOSE(WEEKDAY(C613,2),"Lundi","Mardi","Mercredi","Jeudi","Vendredi","Samedi","Dimanche"))</x:f>
      </x:c>
      <x:c r="H613" s="43"/>
      <x:c r="I613" s="43"/>
      <x:c r="J613" s="43"/>
      <x:c r="K613" s="43"/>
      <x:c r="L613" s="43"/>
      <x:c r="M613" s="43"/>
      <x:c r="N613" s="43"/>
      <x:c r="O613" s="43"/>
      <x:c r="P613" s="43"/>
      <x:c r="Q613" s="43"/>
      <x:c r="R613" s="43"/>
      <x:c r="S613" s="43"/>
      <x:c r="T613" s="43"/>
      <x:c r="U613" s="43"/>
      <x:c r="V613" s="43"/>
      <x:c r="W613" s="43"/>
      <x:c r="X613" s="43"/>
      <x:c r="Y613" s="43"/>
      <x:c r="Z613" s="43"/>
      <x:c r="AA613" s="43"/>
      <x:c r="AB613" s="43"/>
      <x:c r="AC613" s="43"/>
      <x:c r="AD613" s="43"/>
      <x:c r="AE613" s="43"/>
      <x:c r="AF613" s="43"/>
      <x:c r="AG613" s="67"/>
      <x:c r="AH613" s="43"/>
      <x:c r="AI613" s="43"/>
    </x:row>
    <x:row r="614">
      <x:c r="A614" s="43"/>
      <x:c r="B614" s="43"/>
      <x:c r="C614" s="43"/>
      <x:c r="D614" s="43" t="str">
        <x:f>IF(C614="","",YEAR(C614))</x:f>
      </x:c>
      <x:c r="E614" s="43" t="str">
        <x:f>IF(C614="","",MONTH(C614))</x:f>
      </x:c>
      <x:c r="F614" s="43" t="str">
        <x:f>IF(C614="","",WEEKNUM(C614,21))</x:f>
      </x:c>
      <x:c r="G614" s="43" t="str">
        <x:f>IF(C614="","",CHOOSE(WEEKDAY(C614,2),"Lundi","Mardi","Mercredi","Jeudi","Vendredi","Samedi","Dimanche"))</x:f>
      </x:c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  <x:c r="AA614" s="43"/>
      <x:c r="AB614" s="43"/>
      <x:c r="AC614" s="43"/>
      <x:c r="AD614" s="43"/>
      <x:c r="AE614" s="43"/>
      <x:c r="AF614" s="43"/>
      <x:c r="AG614" s="67"/>
      <x:c r="AH614" s="43"/>
      <x:c r="AI614" s="43"/>
    </x:row>
    <x:row r="615">
      <x:c r="A615" s="43"/>
      <x:c r="B615" s="43"/>
      <x:c r="C615" s="43"/>
      <x:c r="D615" s="43" t="str">
        <x:f>IF(C615="","",YEAR(C615))</x:f>
      </x:c>
      <x:c r="E615" s="43" t="str">
        <x:f>IF(C615="","",MONTH(C615))</x:f>
      </x:c>
      <x:c r="F615" s="43" t="str">
        <x:f>IF(C615="","",WEEKNUM(C615,21))</x:f>
      </x:c>
      <x:c r="G615" s="43" t="str">
        <x:f>IF(C615="","",CHOOSE(WEEKDAY(C615,2),"Lundi","Mardi","Mercredi","Jeudi","Vendredi","Samedi","Dimanche"))</x:f>
      </x:c>
      <x:c r="H615" s="43"/>
      <x:c r="I615" s="43"/>
      <x:c r="J615" s="43"/>
      <x:c r="K615" s="43"/>
      <x:c r="L615" s="43"/>
      <x:c r="M615" s="43"/>
      <x:c r="N615" s="43"/>
      <x:c r="O615" s="43"/>
      <x:c r="P615" s="43"/>
      <x:c r="Q615" s="43"/>
      <x:c r="R615" s="43"/>
      <x:c r="S615" s="43"/>
      <x:c r="T615" s="43"/>
      <x:c r="U615" s="43"/>
      <x:c r="V615" s="43"/>
      <x:c r="W615" s="43"/>
      <x:c r="X615" s="43"/>
      <x:c r="Y615" s="43"/>
      <x:c r="Z615" s="43"/>
      <x:c r="AA615" s="43"/>
      <x:c r="AB615" s="43"/>
      <x:c r="AC615" s="43"/>
      <x:c r="AD615" s="43"/>
      <x:c r="AE615" s="43"/>
      <x:c r="AF615" s="43"/>
      <x:c r="AG615" s="67"/>
      <x:c r="AH615" s="43"/>
      <x:c r="AI615" s="43"/>
    </x:row>
    <x:row r="616">
      <x:c r="A616" s="43"/>
      <x:c r="B616" s="43"/>
      <x:c r="C616" s="43"/>
      <x:c r="D616" s="43" t="str">
        <x:f>IF(C616="","",YEAR(C616))</x:f>
      </x:c>
      <x:c r="E616" s="43" t="str">
        <x:f>IF(C616="","",MONTH(C616))</x:f>
      </x:c>
      <x:c r="F616" s="43" t="str">
        <x:f>IF(C616="","",WEEKNUM(C616,21))</x:f>
      </x:c>
      <x:c r="G616" s="43" t="str">
        <x:f>IF(C616="","",CHOOSE(WEEKDAY(C616,2),"Lundi","Mardi","Mercredi","Jeudi","Vendredi","Samedi","Dimanche"))</x:f>
      </x:c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  <x:c r="AA616" s="43"/>
      <x:c r="AB616" s="43"/>
      <x:c r="AC616" s="43"/>
      <x:c r="AD616" s="43"/>
      <x:c r="AE616" s="43"/>
      <x:c r="AF616" s="43"/>
      <x:c r="AG616" s="67"/>
      <x:c r="AH616" s="43"/>
      <x:c r="AI616" s="43"/>
    </x:row>
    <x:row r="617">
      <x:c r="A617" s="43"/>
      <x:c r="B617" s="43"/>
      <x:c r="C617" s="43"/>
      <x:c r="D617" s="43" t="str">
        <x:f>IF(C617="","",YEAR(C617))</x:f>
      </x:c>
      <x:c r="E617" s="43" t="str">
        <x:f>IF(C617="","",MONTH(C617))</x:f>
      </x:c>
      <x:c r="F617" s="43" t="str">
        <x:f>IF(C617="","",WEEKNUM(C617,21))</x:f>
      </x:c>
      <x:c r="G617" s="43" t="str">
        <x:f>IF(C617="","",CHOOSE(WEEKDAY(C617,2),"Lundi","Mardi","Mercredi","Jeudi","Vendredi","Samedi","Dimanche"))</x:f>
      </x:c>
      <x:c r="H617" s="43"/>
      <x:c r="I617" s="43"/>
      <x:c r="J617" s="43"/>
      <x:c r="K617" s="43"/>
      <x:c r="L617" s="43"/>
      <x:c r="M617" s="43"/>
      <x:c r="N617" s="43"/>
      <x:c r="O617" s="43"/>
      <x:c r="P617" s="43"/>
      <x:c r="Q617" s="43"/>
      <x:c r="R617" s="43"/>
      <x:c r="S617" s="43"/>
      <x:c r="T617" s="43"/>
      <x:c r="U617" s="43"/>
      <x:c r="V617" s="43"/>
      <x:c r="W617" s="43"/>
      <x:c r="X617" s="43"/>
      <x:c r="Y617" s="43"/>
      <x:c r="Z617" s="43"/>
      <x:c r="AA617" s="43"/>
      <x:c r="AB617" s="43"/>
      <x:c r="AC617" s="43"/>
      <x:c r="AD617" s="43"/>
      <x:c r="AE617" s="43"/>
      <x:c r="AF617" s="43"/>
      <x:c r="AG617" s="67"/>
      <x:c r="AH617" s="43"/>
      <x:c r="AI617" s="43"/>
    </x:row>
    <x:row r="618">
      <x:c r="A618" s="43"/>
      <x:c r="B618" s="43"/>
      <x:c r="C618" s="43"/>
      <x:c r="D618" s="43" t="str">
        <x:f>IF(C618="","",YEAR(C618))</x:f>
      </x:c>
      <x:c r="E618" s="43" t="str">
        <x:f>IF(C618="","",MONTH(C618))</x:f>
      </x:c>
      <x:c r="F618" s="43" t="str">
        <x:f>IF(C618="","",WEEKNUM(C618,21))</x:f>
      </x:c>
      <x:c r="G618" s="43" t="str">
        <x:f>IF(C618="","",CHOOSE(WEEKDAY(C618,2),"Lundi","Mardi","Mercredi","Jeudi","Vendredi","Samedi","Dimanche"))</x:f>
      </x:c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  <x:c r="AA618" s="43"/>
      <x:c r="AB618" s="43"/>
      <x:c r="AC618" s="43"/>
      <x:c r="AD618" s="43"/>
      <x:c r="AE618" s="43"/>
      <x:c r="AF618" s="43"/>
      <x:c r="AG618" s="67"/>
      <x:c r="AH618" s="43"/>
      <x:c r="AI618" s="43"/>
    </x:row>
    <x:row r="619">
      <x:c r="A619" s="43"/>
      <x:c r="B619" s="43"/>
      <x:c r="C619" s="43"/>
      <x:c r="D619" s="43" t="str">
        <x:f>IF(C619="","",YEAR(C619))</x:f>
      </x:c>
      <x:c r="E619" s="43" t="str">
        <x:f>IF(C619="","",MONTH(C619))</x:f>
      </x:c>
      <x:c r="F619" s="43" t="str">
        <x:f>IF(C619="","",WEEKNUM(C619,21))</x:f>
      </x:c>
      <x:c r="G619" s="43" t="str">
        <x:f>IF(C619="","",CHOOSE(WEEKDAY(C619,2),"Lundi","Mardi","Mercredi","Jeudi","Vendredi","Samedi","Dimanche"))</x:f>
      </x:c>
      <x:c r="H619" s="43"/>
      <x:c r="I619" s="43"/>
      <x:c r="J619" s="43"/>
      <x:c r="K619" s="43"/>
      <x:c r="L619" s="43"/>
      <x:c r="M619" s="43"/>
      <x:c r="N619" s="43"/>
      <x:c r="O619" s="43"/>
      <x:c r="P619" s="43"/>
      <x:c r="Q619" s="43"/>
      <x:c r="R619" s="43"/>
      <x:c r="S619" s="43"/>
      <x:c r="T619" s="43"/>
      <x:c r="U619" s="43"/>
      <x:c r="V619" s="43"/>
      <x:c r="W619" s="43"/>
      <x:c r="X619" s="43"/>
      <x:c r="Y619" s="43"/>
      <x:c r="Z619" s="43"/>
      <x:c r="AA619" s="43"/>
      <x:c r="AB619" s="43"/>
      <x:c r="AC619" s="43"/>
      <x:c r="AD619" s="43"/>
      <x:c r="AE619" s="43"/>
      <x:c r="AF619" s="43"/>
      <x:c r="AG619" s="67"/>
      <x:c r="AH619" s="43"/>
      <x:c r="AI619" s="43"/>
    </x:row>
    <x:row r="620">
      <x:c r="A620" s="43"/>
      <x:c r="B620" s="43"/>
      <x:c r="C620" s="43"/>
      <x:c r="D620" s="43" t="str">
        <x:f>IF(C620="","",YEAR(C620))</x:f>
      </x:c>
      <x:c r="E620" s="43" t="str">
        <x:f>IF(C620="","",MONTH(C620))</x:f>
      </x:c>
      <x:c r="F620" s="43" t="str">
        <x:f>IF(C620="","",WEEKNUM(C620,21))</x:f>
      </x:c>
      <x:c r="G620" s="43" t="str">
        <x:f>IF(C620="","",CHOOSE(WEEKDAY(C620,2),"Lundi","Mardi","Mercredi","Jeudi","Vendredi","Samedi","Dimanche"))</x:f>
      </x:c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  <x:c r="AA620" s="43"/>
      <x:c r="AB620" s="43"/>
      <x:c r="AC620" s="43"/>
      <x:c r="AD620" s="43"/>
      <x:c r="AE620" s="43"/>
      <x:c r="AF620" s="43"/>
      <x:c r="AG620" s="67"/>
      <x:c r="AH620" s="43"/>
      <x:c r="AI620" s="43"/>
    </x:row>
    <x:row r="621">
      <x:c r="A621" s="43"/>
      <x:c r="B621" s="43"/>
      <x:c r="C621" s="43"/>
      <x:c r="D621" s="43" t="str">
        <x:f>IF(C621="","",YEAR(C621))</x:f>
      </x:c>
      <x:c r="E621" s="43" t="str">
        <x:f>IF(C621="","",MONTH(C621))</x:f>
      </x:c>
      <x:c r="F621" s="43" t="str">
        <x:f>IF(C621="","",WEEKNUM(C621,21))</x:f>
      </x:c>
      <x:c r="G621" s="43" t="str">
        <x:f>IF(C621="","",CHOOSE(WEEKDAY(C621,2),"Lundi","Mardi","Mercredi","Jeudi","Vendredi","Samedi","Dimanche"))</x:f>
      </x:c>
      <x:c r="H621" s="43"/>
      <x:c r="I621" s="43"/>
      <x:c r="J621" s="43"/>
      <x:c r="K621" s="43"/>
      <x:c r="L621" s="43"/>
      <x:c r="M621" s="43"/>
      <x:c r="N621" s="43"/>
      <x:c r="O621" s="43"/>
      <x:c r="P621" s="43"/>
      <x:c r="Q621" s="43"/>
      <x:c r="R621" s="43"/>
      <x:c r="S621" s="43"/>
      <x:c r="T621" s="43"/>
      <x:c r="U621" s="43"/>
      <x:c r="V621" s="43"/>
      <x:c r="W621" s="43"/>
      <x:c r="X621" s="43"/>
      <x:c r="Y621" s="43"/>
      <x:c r="Z621" s="43"/>
      <x:c r="AA621" s="43"/>
      <x:c r="AB621" s="43"/>
      <x:c r="AC621" s="43"/>
      <x:c r="AD621" s="43"/>
      <x:c r="AE621" s="43"/>
      <x:c r="AF621" s="43"/>
      <x:c r="AG621" s="67"/>
      <x:c r="AH621" s="43"/>
      <x:c r="AI621" s="43"/>
    </x:row>
    <x:row r="622">
      <x:c r="A622" s="43"/>
      <x:c r="B622" s="43"/>
      <x:c r="C622" s="43"/>
      <x:c r="D622" s="43" t="str">
        <x:f>IF(C622="","",YEAR(C622))</x:f>
      </x:c>
      <x:c r="E622" s="43" t="str">
        <x:f>IF(C622="","",MONTH(C622))</x:f>
      </x:c>
      <x:c r="F622" s="43" t="str">
        <x:f>IF(C622="","",WEEKNUM(C622,21))</x:f>
      </x:c>
      <x:c r="G622" s="43" t="str">
        <x:f>IF(C622="","",CHOOSE(WEEKDAY(C622,2),"Lundi","Mardi","Mercredi","Jeudi","Vendredi","Samedi","Dimanche"))</x:f>
      </x:c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  <x:c r="AA622" s="43"/>
      <x:c r="AB622" s="43"/>
      <x:c r="AC622" s="43"/>
      <x:c r="AD622" s="43"/>
      <x:c r="AE622" s="43"/>
      <x:c r="AF622" s="43"/>
      <x:c r="AG622" s="67"/>
      <x:c r="AH622" s="43"/>
      <x:c r="AI622" s="43"/>
    </x:row>
    <x:row r="623">
      <x:c r="A623" s="43"/>
      <x:c r="B623" s="43"/>
      <x:c r="C623" s="43"/>
      <x:c r="D623" s="43" t="str">
        <x:f>IF(C623="","",YEAR(C623))</x:f>
      </x:c>
      <x:c r="E623" s="43" t="str">
        <x:f>IF(C623="","",MONTH(C623))</x:f>
      </x:c>
      <x:c r="F623" s="43" t="str">
        <x:f>IF(C623="","",WEEKNUM(C623,21))</x:f>
      </x:c>
      <x:c r="G623" s="43" t="str">
        <x:f>IF(C623="","",CHOOSE(WEEKDAY(C623,2),"Lundi","Mardi","Mercredi","Jeudi","Vendredi","Samedi","Dimanche"))</x:f>
      </x:c>
      <x:c r="H623" s="43"/>
      <x:c r="I623" s="43"/>
      <x:c r="J623" s="43"/>
      <x:c r="K623" s="43"/>
      <x:c r="L623" s="43"/>
      <x:c r="M623" s="43"/>
      <x:c r="N623" s="43"/>
      <x:c r="O623" s="43"/>
      <x:c r="P623" s="43"/>
      <x:c r="Q623" s="43"/>
      <x:c r="R623" s="43"/>
      <x:c r="S623" s="43"/>
      <x:c r="T623" s="43"/>
      <x:c r="U623" s="43"/>
      <x:c r="V623" s="43"/>
      <x:c r="W623" s="43"/>
      <x:c r="X623" s="43"/>
      <x:c r="Y623" s="43"/>
      <x:c r="Z623" s="43"/>
      <x:c r="AA623" s="43"/>
      <x:c r="AB623" s="43"/>
      <x:c r="AC623" s="43"/>
      <x:c r="AD623" s="43"/>
      <x:c r="AE623" s="43"/>
      <x:c r="AF623" s="43"/>
      <x:c r="AG623" s="67"/>
      <x:c r="AH623" s="43"/>
      <x:c r="AI623" s="43"/>
    </x:row>
    <x:row r="624">
      <x:c r="A624" s="43"/>
      <x:c r="B624" s="43"/>
      <x:c r="C624" s="43"/>
      <x:c r="D624" s="43" t="str">
        <x:f>IF(C624="","",YEAR(C624))</x:f>
      </x:c>
      <x:c r="E624" s="43" t="str">
        <x:f>IF(C624="","",MONTH(C624))</x:f>
      </x:c>
      <x:c r="F624" s="43" t="str">
        <x:f>IF(C624="","",WEEKNUM(C624,21))</x:f>
      </x:c>
      <x:c r="G624" s="43" t="str">
        <x:f>IF(C624="","",CHOOSE(WEEKDAY(C624,2),"Lundi","Mardi","Mercredi","Jeudi","Vendredi","Samedi","Dimanche"))</x:f>
      </x:c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  <x:c r="AA624" s="43"/>
      <x:c r="AB624" s="43"/>
      <x:c r="AC624" s="43"/>
      <x:c r="AD624" s="43"/>
      <x:c r="AE624" s="43"/>
      <x:c r="AF624" s="43"/>
      <x:c r="AG624" s="67"/>
      <x:c r="AH624" s="43"/>
      <x:c r="AI624" s="43"/>
    </x:row>
    <x:row r="625">
      <x:c r="A625" s="43"/>
      <x:c r="B625" s="43"/>
      <x:c r="C625" s="43"/>
      <x:c r="D625" s="43" t="str">
        <x:f>IF(C625="","",YEAR(C625))</x:f>
      </x:c>
      <x:c r="E625" s="43" t="str">
        <x:f>IF(C625="","",MONTH(C625))</x:f>
      </x:c>
      <x:c r="F625" s="43" t="str">
        <x:f>IF(C625="","",WEEKNUM(C625,21))</x:f>
      </x:c>
      <x:c r="G625" s="43" t="str">
        <x:f>IF(C625="","",CHOOSE(WEEKDAY(C625,2),"Lundi","Mardi","Mercredi","Jeudi","Vendredi","Samedi","Dimanche"))</x:f>
      </x:c>
      <x:c r="H625" s="43"/>
      <x:c r="I625" s="43"/>
      <x:c r="J625" s="43"/>
      <x:c r="K625" s="43"/>
      <x:c r="L625" s="43"/>
      <x:c r="M625" s="43"/>
      <x:c r="N625" s="43"/>
      <x:c r="O625" s="43"/>
      <x:c r="P625" s="43"/>
      <x:c r="Q625" s="43"/>
      <x:c r="R625" s="43"/>
      <x:c r="S625" s="43"/>
      <x:c r="T625" s="43"/>
      <x:c r="U625" s="43"/>
      <x:c r="V625" s="43"/>
      <x:c r="W625" s="43"/>
      <x:c r="X625" s="43"/>
      <x:c r="Y625" s="43"/>
      <x:c r="Z625" s="43"/>
      <x:c r="AA625" s="43"/>
      <x:c r="AB625" s="43"/>
      <x:c r="AC625" s="43"/>
      <x:c r="AD625" s="43"/>
      <x:c r="AE625" s="43"/>
      <x:c r="AF625" s="43"/>
      <x:c r="AG625" s="67"/>
      <x:c r="AH625" s="43"/>
      <x:c r="AI625" s="43"/>
    </x:row>
    <x:row r="626">
      <x:c r="A626" s="43"/>
      <x:c r="B626" s="43"/>
      <x:c r="C626" s="43"/>
      <x:c r="D626" s="43" t="str">
        <x:f>IF(C626="","",YEAR(C626))</x:f>
      </x:c>
      <x:c r="E626" s="43" t="str">
        <x:f>IF(C626="","",MONTH(C626))</x:f>
      </x:c>
      <x:c r="F626" s="43" t="str">
        <x:f>IF(C626="","",WEEKNUM(C626,21))</x:f>
      </x:c>
      <x:c r="G626" s="43" t="str">
        <x:f>IF(C626="","",CHOOSE(WEEKDAY(C626,2),"Lundi","Mardi","Mercredi","Jeudi","Vendredi","Samedi","Dimanche"))</x:f>
      </x:c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  <x:c r="AA626" s="43"/>
      <x:c r="AB626" s="43"/>
      <x:c r="AC626" s="43"/>
      <x:c r="AD626" s="43"/>
      <x:c r="AE626" s="43"/>
      <x:c r="AF626" s="43"/>
      <x:c r="AG626" s="67"/>
      <x:c r="AH626" s="43"/>
      <x:c r="AI626" s="43"/>
    </x:row>
    <x:row r="627">
      <x:c r="A627" s="43"/>
      <x:c r="B627" s="43"/>
      <x:c r="C627" s="43"/>
      <x:c r="D627" s="43" t="str">
        <x:f>IF(C627="","",YEAR(C627))</x:f>
      </x:c>
      <x:c r="E627" s="43" t="str">
        <x:f>IF(C627="","",MONTH(C627))</x:f>
      </x:c>
      <x:c r="F627" s="43" t="str">
        <x:f>IF(C627="","",WEEKNUM(C627,21))</x:f>
      </x:c>
      <x:c r="G627" s="43" t="str">
        <x:f>IF(C627="","",CHOOSE(WEEKDAY(C627,2),"Lundi","Mardi","Mercredi","Jeudi","Vendredi","Samedi","Dimanche"))</x:f>
      </x:c>
      <x:c r="H627" s="43"/>
      <x:c r="I627" s="43"/>
      <x:c r="J627" s="43"/>
      <x:c r="K627" s="43"/>
      <x:c r="L627" s="43"/>
      <x:c r="M627" s="43"/>
      <x:c r="N627" s="43"/>
      <x:c r="O627" s="43"/>
      <x:c r="P627" s="43"/>
      <x:c r="Q627" s="43"/>
      <x:c r="R627" s="43"/>
      <x:c r="S627" s="43"/>
      <x:c r="T627" s="43"/>
      <x:c r="U627" s="43"/>
      <x:c r="V627" s="43"/>
      <x:c r="W627" s="43"/>
      <x:c r="X627" s="43"/>
      <x:c r="Y627" s="43"/>
      <x:c r="Z627" s="43"/>
      <x:c r="AA627" s="43"/>
      <x:c r="AB627" s="43"/>
      <x:c r="AC627" s="43"/>
      <x:c r="AD627" s="43"/>
      <x:c r="AE627" s="43"/>
      <x:c r="AF627" s="43"/>
      <x:c r="AG627" s="67"/>
      <x:c r="AH627" s="43"/>
      <x:c r="AI627" s="43"/>
    </x:row>
    <x:row r="628">
      <x:c r="A628" s="43"/>
      <x:c r="B628" s="43"/>
      <x:c r="C628" s="43"/>
      <x:c r="D628" s="43" t="str">
        <x:f>IF(C628="","",YEAR(C628))</x:f>
      </x:c>
      <x:c r="E628" s="43" t="str">
        <x:f>IF(C628="","",MONTH(C628))</x:f>
      </x:c>
      <x:c r="F628" s="43" t="str">
        <x:f>IF(C628="","",WEEKNUM(C628,21))</x:f>
      </x:c>
      <x:c r="G628" s="43" t="str">
        <x:f>IF(C628="","",CHOOSE(WEEKDAY(C628,2),"Lundi","Mardi","Mercredi","Jeudi","Vendredi","Samedi","Dimanche"))</x:f>
      </x:c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  <x:c r="AA628" s="43"/>
      <x:c r="AB628" s="43"/>
      <x:c r="AC628" s="43"/>
      <x:c r="AD628" s="43"/>
      <x:c r="AE628" s="43"/>
      <x:c r="AF628" s="43"/>
      <x:c r="AG628" s="67"/>
      <x:c r="AH628" s="43"/>
      <x:c r="AI628" s="43"/>
    </x:row>
    <x:row r="629">
      <x:c r="A629" s="43"/>
      <x:c r="B629" s="43"/>
      <x:c r="C629" s="43"/>
      <x:c r="D629" s="43" t="str">
        <x:f>IF(C629="","",YEAR(C629))</x:f>
      </x:c>
      <x:c r="E629" s="43" t="str">
        <x:f>IF(C629="","",MONTH(C629))</x:f>
      </x:c>
      <x:c r="F629" s="43" t="str">
        <x:f>IF(C629="","",WEEKNUM(C629,21))</x:f>
      </x:c>
      <x:c r="G629" s="43" t="str">
        <x:f>IF(C629="","",CHOOSE(WEEKDAY(C629,2),"Lundi","Mardi","Mercredi","Jeudi","Vendredi","Samedi","Dimanche"))</x:f>
      </x:c>
      <x:c r="H629" s="43"/>
      <x:c r="I629" s="43"/>
      <x:c r="J629" s="43"/>
      <x:c r="K629" s="43"/>
      <x:c r="L629" s="43"/>
      <x:c r="M629" s="43"/>
      <x:c r="N629" s="43"/>
      <x:c r="O629" s="43"/>
      <x:c r="P629" s="43"/>
      <x:c r="Q629" s="43"/>
      <x:c r="R629" s="43"/>
      <x:c r="S629" s="43"/>
      <x:c r="T629" s="43"/>
      <x:c r="U629" s="43"/>
      <x:c r="V629" s="43"/>
      <x:c r="W629" s="43"/>
      <x:c r="X629" s="43"/>
      <x:c r="Y629" s="43"/>
      <x:c r="Z629" s="43"/>
      <x:c r="AA629" s="43"/>
      <x:c r="AB629" s="43"/>
      <x:c r="AC629" s="43"/>
      <x:c r="AD629" s="43"/>
      <x:c r="AE629" s="43"/>
      <x:c r="AF629" s="43"/>
      <x:c r="AG629" s="67"/>
      <x:c r="AH629" s="43"/>
      <x:c r="AI629" s="43"/>
    </x:row>
    <x:row r="630">
      <x:c r="A630" s="43"/>
      <x:c r="B630" s="43"/>
      <x:c r="C630" s="43"/>
      <x:c r="D630" s="43" t="str">
        <x:f>IF(C630="","",YEAR(C630))</x:f>
      </x:c>
      <x:c r="E630" s="43" t="str">
        <x:f>IF(C630="","",MONTH(C630))</x:f>
      </x:c>
      <x:c r="F630" s="43" t="str">
        <x:f>IF(C630="","",WEEKNUM(C630,21))</x:f>
      </x:c>
      <x:c r="G630" s="43" t="str">
        <x:f>IF(C630="","",CHOOSE(WEEKDAY(C630,2),"Lundi","Mardi","Mercredi","Jeudi","Vendredi","Samedi","Dimanche"))</x:f>
      </x:c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  <x:c r="AA630" s="43"/>
      <x:c r="AB630" s="43"/>
      <x:c r="AC630" s="43"/>
      <x:c r="AD630" s="43"/>
      <x:c r="AE630" s="43"/>
      <x:c r="AF630" s="43"/>
      <x:c r="AG630" s="67"/>
      <x:c r="AH630" s="43"/>
      <x:c r="AI630" s="43"/>
    </x:row>
    <x:row r="631">
      <x:c r="A631" s="43"/>
      <x:c r="B631" s="43"/>
      <x:c r="C631" s="43"/>
      <x:c r="D631" s="43" t="str">
        <x:f>IF(C631="","",YEAR(C631))</x:f>
      </x:c>
      <x:c r="E631" s="43" t="str">
        <x:f>IF(C631="","",MONTH(C631))</x:f>
      </x:c>
      <x:c r="F631" s="43" t="str">
        <x:f>IF(C631="","",WEEKNUM(C631,21))</x:f>
      </x:c>
      <x:c r="G631" s="43" t="str">
        <x:f>IF(C631="","",CHOOSE(WEEKDAY(C631,2),"Lundi","Mardi","Mercredi","Jeudi","Vendredi","Samedi","Dimanche"))</x:f>
      </x:c>
      <x:c r="H631" s="43"/>
      <x:c r="I631" s="43"/>
      <x:c r="J631" s="43"/>
      <x:c r="K631" s="43"/>
      <x:c r="L631" s="43"/>
      <x:c r="M631" s="43"/>
      <x:c r="N631" s="43"/>
      <x:c r="O631" s="43"/>
      <x:c r="P631" s="43"/>
      <x:c r="Q631" s="43"/>
      <x:c r="R631" s="43"/>
      <x:c r="S631" s="43"/>
      <x:c r="T631" s="43"/>
      <x:c r="U631" s="43"/>
      <x:c r="V631" s="43"/>
      <x:c r="W631" s="43"/>
      <x:c r="X631" s="43"/>
      <x:c r="Y631" s="43"/>
      <x:c r="Z631" s="43"/>
      <x:c r="AA631" s="43"/>
      <x:c r="AB631" s="43"/>
      <x:c r="AC631" s="43"/>
      <x:c r="AD631" s="43"/>
      <x:c r="AE631" s="43"/>
      <x:c r="AF631" s="43"/>
      <x:c r="AG631" s="67"/>
      <x:c r="AH631" s="43"/>
      <x:c r="AI631" s="43"/>
    </x:row>
    <x:row r="632">
      <x:c r="A632" s="43"/>
      <x:c r="B632" s="43"/>
      <x:c r="C632" s="43"/>
      <x:c r="D632" s="43" t="str">
        <x:f>IF(C632="","",YEAR(C632))</x:f>
      </x:c>
      <x:c r="E632" s="43" t="str">
        <x:f>IF(C632="","",MONTH(C632))</x:f>
      </x:c>
      <x:c r="F632" s="43" t="str">
        <x:f>IF(C632="","",WEEKNUM(C632,21))</x:f>
      </x:c>
      <x:c r="G632" s="43" t="str">
        <x:f>IF(C632="","",CHOOSE(WEEKDAY(C632,2),"Lundi","Mardi","Mercredi","Jeudi","Vendredi","Samedi","Dimanche"))</x:f>
      </x:c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  <x:c r="AA632" s="43"/>
      <x:c r="AB632" s="43"/>
      <x:c r="AC632" s="43"/>
      <x:c r="AD632" s="43"/>
      <x:c r="AE632" s="43"/>
      <x:c r="AF632" s="43"/>
      <x:c r="AG632" s="67"/>
      <x:c r="AH632" s="43"/>
      <x:c r="AI632" s="43"/>
    </x:row>
    <x:row r="633">
      <x:c r="A633" s="43"/>
      <x:c r="B633" s="43"/>
      <x:c r="C633" s="43"/>
      <x:c r="D633" s="43" t="str">
        <x:f>IF(C633="","",YEAR(C633))</x:f>
      </x:c>
      <x:c r="E633" s="43" t="str">
        <x:f>IF(C633="","",MONTH(C633))</x:f>
      </x:c>
      <x:c r="F633" s="43" t="str">
        <x:f>IF(C633="","",WEEKNUM(C633,21))</x:f>
      </x:c>
      <x:c r="G633" s="43" t="str">
        <x:f>IF(C633="","",CHOOSE(WEEKDAY(C633,2),"Lundi","Mardi","Mercredi","Jeudi","Vendredi","Samedi","Dimanche"))</x:f>
      </x:c>
      <x:c r="H633" s="43"/>
      <x:c r="I633" s="43"/>
      <x:c r="J633" s="43"/>
      <x:c r="K633" s="43"/>
      <x:c r="L633" s="43"/>
      <x:c r="M633" s="43"/>
      <x:c r="N633" s="43"/>
      <x:c r="O633" s="43"/>
      <x:c r="P633" s="43"/>
      <x:c r="Q633" s="43"/>
      <x:c r="R633" s="43"/>
      <x:c r="S633" s="43"/>
      <x:c r="T633" s="43"/>
      <x:c r="U633" s="43"/>
      <x:c r="V633" s="43"/>
      <x:c r="W633" s="43"/>
      <x:c r="X633" s="43"/>
      <x:c r="Y633" s="43"/>
      <x:c r="Z633" s="43"/>
      <x:c r="AA633" s="43"/>
      <x:c r="AB633" s="43"/>
      <x:c r="AC633" s="43"/>
      <x:c r="AD633" s="43"/>
      <x:c r="AE633" s="43"/>
      <x:c r="AF633" s="43"/>
      <x:c r="AG633" s="67"/>
      <x:c r="AH633" s="43"/>
      <x:c r="AI633" s="43"/>
    </x:row>
    <x:row r="634">
      <x:c r="A634" s="43"/>
      <x:c r="B634" s="43"/>
      <x:c r="C634" s="43"/>
      <x:c r="D634" s="43" t="str">
        <x:f>IF(C634="","",YEAR(C634))</x:f>
      </x:c>
      <x:c r="E634" s="43" t="str">
        <x:f>IF(C634="","",MONTH(C634))</x:f>
      </x:c>
      <x:c r="F634" s="43" t="str">
        <x:f>IF(C634="","",WEEKNUM(C634,21))</x:f>
      </x:c>
      <x:c r="G634" s="43" t="str">
        <x:f>IF(C634="","",CHOOSE(WEEKDAY(C634,2),"Lundi","Mardi","Mercredi","Jeudi","Vendredi","Samedi","Dimanche"))</x:f>
      </x:c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  <x:c r="AA634" s="43"/>
      <x:c r="AB634" s="43"/>
      <x:c r="AC634" s="43"/>
      <x:c r="AD634" s="43"/>
      <x:c r="AE634" s="43"/>
      <x:c r="AF634" s="43"/>
      <x:c r="AG634" s="67"/>
      <x:c r="AH634" s="43"/>
      <x:c r="AI634" s="43"/>
    </x:row>
    <x:row r="635">
      <x:c r="A635" s="43"/>
      <x:c r="B635" s="43"/>
      <x:c r="C635" s="43"/>
      <x:c r="D635" s="43" t="str">
        <x:f>IF(C635="","",YEAR(C635))</x:f>
      </x:c>
      <x:c r="E635" s="43" t="str">
        <x:f>IF(C635="","",MONTH(C635))</x:f>
      </x:c>
      <x:c r="F635" s="43" t="str">
        <x:f>IF(C635="","",WEEKNUM(C635,21))</x:f>
      </x:c>
      <x:c r="G635" s="43" t="str">
        <x:f>IF(C635="","",CHOOSE(WEEKDAY(C635,2),"Lundi","Mardi","Mercredi","Jeudi","Vendredi","Samedi","Dimanche"))</x:f>
      </x:c>
      <x:c r="H635" s="43"/>
      <x:c r="I635" s="43"/>
      <x:c r="J635" s="43"/>
      <x:c r="K635" s="43"/>
      <x:c r="L635" s="43"/>
      <x:c r="M635" s="43"/>
      <x:c r="N635" s="43"/>
      <x:c r="O635" s="43"/>
      <x:c r="P635" s="43"/>
      <x:c r="Q635" s="43"/>
      <x:c r="R635" s="43"/>
      <x:c r="S635" s="43"/>
      <x:c r="T635" s="43"/>
      <x:c r="U635" s="43"/>
      <x:c r="V635" s="43"/>
      <x:c r="W635" s="43"/>
      <x:c r="X635" s="43"/>
      <x:c r="Y635" s="43"/>
      <x:c r="Z635" s="43"/>
      <x:c r="AA635" s="43"/>
      <x:c r="AB635" s="43"/>
      <x:c r="AC635" s="43"/>
      <x:c r="AD635" s="43"/>
      <x:c r="AE635" s="43"/>
      <x:c r="AF635" s="43"/>
      <x:c r="AG635" s="67"/>
      <x:c r="AH635" s="43"/>
      <x:c r="AI635" s="43"/>
    </x:row>
    <x:row r="636">
      <x:c r="A636" s="43"/>
      <x:c r="B636" s="43"/>
      <x:c r="C636" s="43"/>
      <x:c r="D636" s="43" t="str">
        <x:f>IF(C636="","",YEAR(C636))</x:f>
      </x:c>
      <x:c r="E636" s="43" t="str">
        <x:f>IF(C636="","",MONTH(C636))</x:f>
      </x:c>
      <x:c r="F636" s="43" t="str">
        <x:f>IF(C636="","",WEEKNUM(C636,21))</x:f>
      </x:c>
      <x:c r="G636" s="43" t="str">
        <x:f>IF(C636="","",CHOOSE(WEEKDAY(C636,2),"Lundi","Mardi","Mercredi","Jeudi","Vendredi","Samedi","Dimanche"))</x:f>
      </x:c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  <x:c r="AA636" s="43"/>
      <x:c r="AB636" s="43"/>
      <x:c r="AC636" s="43"/>
      <x:c r="AD636" s="43"/>
      <x:c r="AE636" s="43"/>
      <x:c r="AF636" s="43"/>
      <x:c r="AG636" s="67"/>
      <x:c r="AH636" s="43"/>
      <x:c r="AI636" s="43"/>
    </x:row>
    <x:row r="637">
      <x:c r="A637" s="43"/>
      <x:c r="B637" s="43"/>
      <x:c r="C637" s="43"/>
      <x:c r="D637" s="43" t="str">
        <x:f>IF(C637="","",YEAR(C637))</x:f>
      </x:c>
      <x:c r="E637" s="43" t="str">
        <x:f>IF(C637="","",MONTH(C637))</x:f>
      </x:c>
      <x:c r="F637" s="43" t="str">
        <x:f>IF(C637="","",WEEKNUM(C637,21))</x:f>
      </x:c>
      <x:c r="G637" s="43" t="str">
        <x:f>IF(C637="","",CHOOSE(WEEKDAY(C637,2),"Lundi","Mardi","Mercredi","Jeudi","Vendredi","Samedi","Dimanche"))</x:f>
      </x:c>
      <x:c r="H637" s="43"/>
      <x:c r="I637" s="43"/>
      <x:c r="J637" s="43"/>
      <x:c r="K637" s="43"/>
      <x:c r="L637" s="43"/>
      <x:c r="M637" s="43"/>
      <x:c r="N637" s="43"/>
      <x:c r="O637" s="43"/>
      <x:c r="P637" s="43"/>
      <x:c r="Q637" s="43"/>
      <x:c r="R637" s="43"/>
      <x:c r="S637" s="43"/>
      <x:c r="T637" s="43"/>
      <x:c r="U637" s="43"/>
      <x:c r="V637" s="43"/>
      <x:c r="W637" s="43"/>
      <x:c r="X637" s="43"/>
      <x:c r="Y637" s="43"/>
      <x:c r="Z637" s="43"/>
      <x:c r="AA637" s="43"/>
      <x:c r="AB637" s="43"/>
      <x:c r="AC637" s="43"/>
      <x:c r="AD637" s="43"/>
      <x:c r="AE637" s="43"/>
      <x:c r="AF637" s="43"/>
      <x:c r="AG637" s="67"/>
      <x:c r="AH637" s="43"/>
      <x:c r="AI637" s="43"/>
    </x:row>
    <x:row r="638">
      <x:c r="A638" s="43"/>
      <x:c r="B638" s="43"/>
      <x:c r="C638" s="43"/>
      <x:c r="D638" s="43" t="str">
        <x:f>IF(C638="","",YEAR(C638))</x:f>
      </x:c>
      <x:c r="E638" s="43" t="str">
        <x:f>IF(C638="","",MONTH(C638))</x:f>
      </x:c>
      <x:c r="F638" s="43" t="str">
        <x:f>IF(C638="","",WEEKNUM(C638,21))</x:f>
      </x:c>
      <x:c r="G638" s="43" t="str">
        <x:f>IF(C638="","",CHOOSE(WEEKDAY(C638,2),"Lundi","Mardi","Mercredi","Jeudi","Vendredi","Samedi","Dimanche"))</x:f>
      </x:c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  <x:c r="AA638" s="43"/>
      <x:c r="AB638" s="43"/>
      <x:c r="AC638" s="43"/>
      <x:c r="AD638" s="43"/>
      <x:c r="AE638" s="43"/>
      <x:c r="AF638" s="43"/>
      <x:c r="AG638" s="67"/>
      <x:c r="AH638" s="43"/>
      <x:c r="AI638" s="43"/>
    </x:row>
    <x:row r="639">
      <x:c r="A639" s="43"/>
      <x:c r="B639" s="43"/>
      <x:c r="C639" s="43"/>
      <x:c r="D639" s="43" t="str">
        <x:f>IF(C639="","",YEAR(C639))</x:f>
      </x:c>
      <x:c r="E639" s="43" t="str">
        <x:f>IF(C639="","",MONTH(C639))</x:f>
      </x:c>
      <x:c r="F639" s="43" t="str">
        <x:f>IF(C639="","",WEEKNUM(C639,21))</x:f>
      </x:c>
      <x:c r="G639" s="43" t="str">
        <x:f>IF(C639="","",CHOOSE(WEEKDAY(C639,2),"Lundi","Mardi","Mercredi","Jeudi","Vendredi","Samedi","Dimanche"))</x:f>
      </x:c>
      <x:c r="H639" s="43"/>
      <x:c r="I639" s="43"/>
      <x:c r="J639" s="43"/>
      <x:c r="K639" s="43"/>
      <x:c r="L639" s="43"/>
      <x:c r="M639" s="43"/>
      <x:c r="N639" s="43"/>
      <x:c r="O639" s="43"/>
      <x:c r="P639" s="43"/>
      <x:c r="Q639" s="43"/>
      <x:c r="R639" s="43"/>
      <x:c r="S639" s="43"/>
      <x:c r="T639" s="43"/>
      <x:c r="U639" s="43"/>
      <x:c r="V639" s="43"/>
      <x:c r="W639" s="43"/>
      <x:c r="X639" s="43"/>
      <x:c r="Y639" s="43"/>
      <x:c r="Z639" s="43"/>
      <x:c r="AA639" s="43"/>
      <x:c r="AB639" s="43"/>
      <x:c r="AC639" s="43"/>
      <x:c r="AD639" s="43"/>
      <x:c r="AE639" s="43"/>
      <x:c r="AF639" s="43"/>
      <x:c r="AG639" s="67"/>
      <x:c r="AH639" s="43"/>
      <x:c r="AI639" s="43"/>
    </x:row>
    <x:row r="640">
      <x:c r="A640" s="43"/>
      <x:c r="B640" s="43"/>
      <x:c r="C640" s="43"/>
      <x:c r="D640" s="43" t="str">
        <x:f>IF(C640="","",YEAR(C640))</x:f>
      </x:c>
      <x:c r="E640" s="43" t="str">
        <x:f>IF(C640="","",MONTH(C640))</x:f>
      </x:c>
      <x:c r="F640" s="43" t="str">
        <x:f>IF(C640="","",WEEKNUM(C640,21))</x:f>
      </x:c>
      <x:c r="G640" s="43" t="str">
        <x:f>IF(C640="","",CHOOSE(WEEKDAY(C640,2),"Lundi","Mardi","Mercredi","Jeudi","Vendredi","Samedi","Dimanche"))</x:f>
      </x:c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  <x:c r="AA640" s="43"/>
      <x:c r="AB640" s="43"/>
      <x:c r="AC640" s="43"/>
      <x:c r="AD640" s="43"/>
      <x:c r="AE640" s="43"/>
      <x:c r="AF640" s="43"/>
      <x:c r="AG640" s="67"/>
      <x:c r="AH640" s="43"/>
      <x:c r="AI640" s="43"/>
    </x:row>
    <x:row r="641">
      <x:c r="A641" s="43"/>
      <x:c r="B641" s="43"/>
      <x:c r="C641" s="43"/>
      <x:c r="D641" s="43" t="str">
        <x:f>IF(C641="","",YEAR(C641))</x:f>
      </x:c>
      <x:c r="E641" s="43" t="str">
        <x:f>IF(C641="","",MONTH(C641))</x:f>
      </x:c>
      <x:c r="F641" s="43" t="str">
        <x:f>IF(C641="","",WEEKNUM(C641,21))</x:f>
      </x:c>
      <x:c r="G641" s="43" t="str">
        <x:f>IF(C641="","",CHOOSE(WEEKDAY(C641,2),"Lundi","Mardi","Mercredi","Jeudi","Vendredi","Samedi","Dimanche"))</x:f>
      </x:c>
      <x:c r="H641" s="43"/>
      <x:c r="I641" s="43"/>
      <x:c r="J641" s="43"/>
      <x:c r="K641" s="43"/>
      <x:c r="L641" s="43"/>
      <x:c r="M641" s="43"/>
      <x:c r="N641" s="43"/>
      <x:c r="O641" s="43"/>
      <x:c r="P641" s="43"/>
      <x:c r="Q641" s="43"/>
      <x:c r="R641" s="43"/>
      <x:c r="S641" s="43"/>
      <x:c r="T641" s="43"/>
      <x:c r="U641" s="43"/>
      <x:c r="V641" s="43"/>
      <x:c r="W641" s="43"/>
      <x:c r="X641" s="43"/>
      <x:c r="Y641" s="43"/>
      <x:c r="Z641" s="43"/>
      <x:c r="AA641" s="43"/>
      <x:c r="AB641" s="43"/>
      <x:c r="AC641" s="43"/>
      <x:c r="AD641" s="43"/>
      <x:c r="AE641" s="43"/>
      <x:c r="AF641" s="43"/>
      <x:c r="AG641" s="67"/>
      <x:c r="AH641" s="43"/>
      <x:c r="AI641" s="43"/>
    </x:row>
    <x:row r="642">
      <x:c r="A642" s="43"/>
      <x:c r="B642" s="43"/>
      <x:c r="C642" s="43"/>
      <x:c r="D642" s="43" t="str">
        <x:f>IF(C642="","",YEAR(C642))</x:f>
      </x:c>
      <x:c r="E642" s="43" t="str">
        <x:f>IF(C642="","",MONTH(C642))</x:f>
      </x:c>
      <x:c r="F642" s="43" t="str">
        <x:f>IF(C642="","",WEEKNUM(C642,21))</x:f>
      </x:c>
      <x:c r="G642" s="43" t="str">
        <x:f>IF(C642="","",CHOOSE(WEEKDAY(C642,2),"Lundi","Mardi","Mercredi","Jeudi","Vendredi","Samedi","Dimanche"))</x:f>
      </x:c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  <x:c r="AA642" s="43"/>
      <x:c r="AB642" s="43"/>
      <x:c r="AC642" s="43"/>
      <x:c r="AD642" s="43"/>
      <x:c r="AE642" s="43"/>
      <x:c r="AF642" s="43"/>
      <x:c r="AG642" s="67"/>
      <x:c r="AH642" s="43"/>
      <x:c r="AI642" s="43"/>
    </x:row>
    <x:row r="643">
      <x:c r="A643" s="43"/>
      <x:c r="B643" s="43"/>
      <x:c r="C643" s="43"/>
      <x:c r="D643" s="43" t="str">
        <x:f>IF(C643="","",YEAR(C643))</x:f>
      </x:c>
      <x:c r="E643" s="43" t="str">
        <x:f>IF(C643="","",MONTH(C643))</x:f>
      </x:c>
      <x:c r="F643" s="43" t="str">
        <x:f>IF(C643="","",WEEKNUM(C643,21))</x:f>
      </x:c>
      <x:c r="G643" s="43" t="str">
        <x:f>IF(C643="","",CHOOSE(WEEKDAY(C643,2),"Lundi","Mardi","Mercredi","Jeudi","Vendredi","Samedi","Dimanche"))</x:f>
      </x:c>
      <x:c r="H643" s="43"/>
      <x:c r="I643" s="43"/>
      <x:c r="J643" s="43"/>
      <x:c r="K643" s="43"/>
      <x:c r="L643" s="43"/>
      <x:c r="M643" s="43"/>
      <x:c r="N643" s="43"/>
      <x:c r="O643" s="43"/>
      <x:c r="P643" s="43"/>
      <x:c r="Q643" s="43"/>
      <x:c r="R643" s="43"/>
      <x:c r="S643" s="43"/>
      <x:c r="T643" s="43"/>
      <x:c r="U643" s="43"/>
      <x:c r="V643" s="43"/>
      <x:c r="W643" s="43"/>
      <x:c r="X643" s="43"/>
      <x:c r="Y643" s="43"/>
      <x:c r="Z643" s="43"/>
      <x:c r="AA643" s="43"/>
      <x:c r="AB643" s="43"/>
      <x:c r="AC643" s="43"/>
      <x:c r="AD643" s="43"/>
      <x:c r="AE643" s="43"/>
      <x:c r="AF643" s="43"/>
      <x:c r="AG643" s="67"/>
      <x:c r="AH643" s="43"/>
      <x:c r="AI643" s="43"/>
    </x:row>
    <x:row r="644">
      <x:c r="A644" s="43"/>
      <x:c r="B644" s="43"/>
      <x:c r="C644" s="43"/>
      <x:c r="D644" s="43" t="str">
        <x:f>IF(C644="","",YEAR(C644))</x:f>
      </x:c>
      <x:c r="E644" s="43" t="str">
        <x:f>IF(C644="","",MONTH(C644))</x:f>
      </x:c>
      <x:c r="F644" s="43" t="str">
        <x:f>IF(C644="","",WEEKNUM(C644,21))</x:f>
      </x:c>
      <x:c r="G644" s="43" t="str">
        <x:f>IF(C644="","",CHOOSE(WEEKDAY(C644,2),"Lundi","Mardi","Mercredi","Jeudi","Vendredi","Samedi","Dimanche"))</x:f>
      </x:c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  <x:c r="AA644" s="43"/>
      <x:c r="AB644" s="43"/>
      <x:c r="AC644" s="43"/>
      <x:c r="AD644" s="43"/>
      <x:c r="AE644" s="43"/>
      <x:c r="AF644" s="43"/>
      <x:c r="AG644" s="67"/>
      <x:c r="AH644" s="43"/>
      <x:c r="AI644" s="43"/>
    </x:row>
    <x:row r="645">
      <x:c r="A645" s="43"/>
      <x:c r="B645" s="43"/>
      <x:c r="C645" s="43"/>
      <x:c r="D645" s="43" t="str">
        <x:f>IF(C645="","",YEAR(C645))</x:f>
      </x:c>
      <x:c r="E645" s="43" t="str">
        <x:f>IF(C645="","",MONTH(C645))</x:f>
      </x:c>
      <x:c r="F645" s="43" t="str">
        <x:f>IF(C645="","",WEEKNUM(C645,21))</x:f>
      </x:c>
      <x:c r="G645" s="43" t="str">
        <x:f>IF(C645="","",CHOOSE(WEEKDAY(C645,2),"Lundi","Mardi","Mercredi","Jeudi","Vendredi","Samedi","Dimanche"))</x:f>
      </x:c>
      <x:c r="H645" s="43"/>
      <x:c r="I645" s="43"/>
      <x:c r="J645" s="43"/>
      <x:c r="K645" s="43"/>
      <x:c r="L645" s="43"/>
      <x:c r="M645" s="43"/>
      <x:c r="N645" s="43"/>
      <x:c r="O645" s="43"/>
      <x:c r="P645" s="43"/>
      <x:c r="Q645" s="43"/>
      <x:c r="R645" s="43"/>
      <x:c r="S645" s="43"/>
      <x:c r="T645" s="43"/>
      <x:c r="U645" s="43"/>
      <x:c r="V645" s="43"/>
      <x:c r="W645" s="43"/>
      <x:c r="X645" s="43"/>
      <x:c r="Y645" s="43"/>
      <x:c r="Z645" s="43"/>
      <x:c r="AA645" s="43"/>
      <x:c r="AB645" s="43"/>
      <x:c r="AC645" s="43"/>
      <x:c r="AD645" s="43"/>
      <x:c r="AE645" s="43"/>
      <x:c r="AF645" s="43"/>
      <x:c r="AG645" s="67"/>
      <x:c r="AH645" s="43"/>
      <x:c r="AI645" s="43"/>
    </x:row>
    <x:row r="646">
      <x:c r="A646" s="43"/>
      <x:c r="B646" s="43"/>
      <x:c r="C646" s="43"/>
      <x:c r="D646" s="43" t="str">
        <x:f>IF(C646="","",YEAR(C646))</x:f>
      </x:c>
      <x:c r="E646" s="43" t="str">
        <x:f>IF(C646="","",MONTH(C646))</x:f>
      </x:c>
      <x:c r="F646" s="43" t="str">
        <x:f>IF(C646="","",WEEKNUM(C646,21))</x:f>
      </x:c>
      <x:c r="G646" s="43" t="str">
        <x:f>IF(C646="","",CHOOSE(WEEKDAY(C646,2),"Lundi","Mardi","Mercredi","Jeudi","Vendredi","Samedi","Dimanche"))</x:f>
      </x:c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  <x:c r="AA646" s="43"/>
      <x:c r="AB646" s="43"/>
      <x:c r="AC646" s="43"/>
      <x:c r="AD646" s="43"/>
      <x:c r="AE646" s="43"/>
      <x:c r="AF646" s="43"/>
      <x:c r="AG646" s="67"/>
      <x:c r="AH646" s="43"/>
      <x:c r="AI646" s="43"/>
    </x:row>
    <x:row r="647">
      <x:c r="A647" s="43"/>
      <x:c r="B647" s="43"/>
      <x:c r="C647" s="43"/>
      <x:c r="D647" s="43" t="str">
        <x:f>IF(C647="","",YEAR(C647))</x:f>
      </x:c>
      <x:c r="E647" s="43" t="str">
        <x:f>IF(C647="","",MONTH(C647))</x:f>
      </x:c>
      <x:c r="F647" s="43" t="str">
        <x:f>IF(C647="","",WEEKNUM(C647,21))</x:f>
      </x:c>
      <x:c r="G647" s="43" t="str">
        <x:f>IF(C647="","",CHOOSE(WEEKDAY(C647,2),"Lundi","Mardi","Mercredi","Jeudi","Vendredi","Samedi","Dimanche"))</x:f>
      </x:c>
      <x:c r="H647" s="43"/>
      <x:c r="I647" s="43"/>
      <x:c r="J647" s="43"/>
      <x:c r="K647" s="43"/>
      <x:c r="L647" s="43"/>
      <x:c r="M647" s="43"/>
      <x:c r="N647" s="43"/>
      <x:c r="O647" s="43"/>
      <x:c r="P647" s="43"/>
      <x:c r="Q647" s="43"/>
      <x:c r="R647" s="43"/>
      <x:c r="S647" s="43"/>
      <x:c r="T647" s="43"/>
      <x:c r="U647" s="43"/>
      <x:c r="V647" s="43"/>
      <x:c r="W647" s="43"/>
      <x:c r="X647" s="43"/>
      <x:c r="Y647" s="43"/>
      <x:c r="Z647" s="43"/>
      <x:c r="AA647" s="43"/>
      <x:c r="AB647" s="43"/>
      <x:c r="AC647" s="43"/>
      <x:c r="AD647" s="43"/>
      <x:c r="AE647" s="43"/>
      <x:c r="AF647" s="43"/>
      <x:c r="AG647" s="67"/>
      <x:c r="AH647" s="43"/>
      <x:c r="AI647" s="43"/>
    </x:row>
    <x:row r="648">
      <x:c r="A648" s="43"/>
      <x:c r="B648" s="43"/>
      <x:c r="C648" s="43"/>
      <x:c r="D648" s="43" t="str">
        <x:f>IF(C648="","",YEAR(C648))</x:f>
      </x:c>
      <x:c r="E648" s="43" t="str">
        <x:f>IF(C648="","",MONTH(C648))</x:f>
      </x:c>
      <x:c r="F648" s="43" t="str">
        <x:f>IF(C648="","",WEEKNUM(C648,21))</x:f>
      </x:c>
      <x:c r="G648" s="43" t="str">
        <x:f>IF(C648="","",CHOOSE(WEEKDAY(C648,2),"Lundi","Mardi","Mercredi","Jeudi","Vendredi","Samedi","Dimanche"))</x:f>
      </x:c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  <x:c r="AA648" s="43"/>
      <x:c r="AB648" s="43"/>
      <x:c r="AC648" s="43"/>
      <x:c r="AD648" s="43"/>
      <x:c r="AE648" s="43"/>
      <x:c r="AF648" s="43"/>
      <x:c r="AG648" s="67"/>
      <x:c r="AH648" s="43"/>
      <x:c r="AI648" s="43"/>
    </x:row>
    <x:row r="649">
      <x:c r="A649" s="43"/>
      <x:c r="B649" s="43"/>
      <x:c r="C649" s="43"/>
      <x:c r="D649" s="43" t="str">
        <x:f>IF(C649="","",YEAR(C649))</x:f>
      </x:c>
      <x:c r="E649" s="43" t="str">
        <x:f>IF(C649="","",MONTH(C649))</x:f>
      </x:c>
      <x:c r="F649" s="43" t="str">
        <x:f>IF(C649="","",WEEKNUM(C649,21))</x:f>
      </x:c>
      <x:c r="G649" s="43" t="str">
        <x:f>IF(C649="","",CHOOSE(WEEKDAY(C649,2),"Lundi","Mardi","Mercredi","Jeudi","Vendredi","Samedi","Dimanche"))</x:f>
      </x:c>
      <x:c r="H649" s="43"/>
      <x:c r="I649" s="43"/>
      <x:c r="J649" s="43"/>
      <x:c r="K649" s="43"/>
      <x:c r="L649" s="43"/>
      <x:c r="M649" s="43"/>
      <x:c r="N649" s="43"/>
      <x:c r="O649" s="43"/>
      <x:c r="P649" s="43"/>
      <x:c r="Q649" s="43"/>
      <x:c r="R649" s="43"/>
      <x:c r="S649" s="43"/>
      <x:c r="T649" s="43"/>
      <x:c r="U649" s="43"/>
      <x:c r="V649" s="43"/>
      <x:c r="W649" s="43"/>
      <x:c r="X649" s="43"/>
      <x:c r="Y649" s="43"/>
      <x:c r="Z649" s="43"/>
      <x:c r="AA649" s="43"/>
      <x:c r="AB649" s="43"/>
      <x:c r="AC649" s="43"/>
      <x:c r="AD649" s="43"/>
      <x:c r="AE649" s="43"/>
      <x:c r="AF649" s="43"/>
      <x:c r="AG649" s="67"/>
      <x:c r="AH649" s="43"/>
      <x:c r="AI649" s="43"/>
    </x:row>
    <x:row r="650">
      <x:c r="A650" s="43"/>
      <x:c r="B650" s="43"/>
      <x:c r="C650" s="43"/>
      <x:c r="D650" s="43" t="str">
        <x:f>IF(C650="","",YEAR(C650))</x:f>
      </x:c>
      <x:c r="E650" s="43" t="str">
        <x:f>IF(C650="","",MONTH(C650))</x:f>
      </x:c>
      <x:c r="F650" s="43" t="str">
        <x:f>IF(C650="","",WEEKNUM(C650,21))</x:f>
      </x:c>
      <x:c r="G650" s="43" t="str">
        <x:f>IF(C650="","",CHOOSE(WEEKDAY(C650,2),"Lundi","Mardi","Mercredi","Jeudi","Vendredi","Samedi","Dimanche"))</x:f>
      </x:c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  <x:c r="AA650" s="43"/>
      <x:c r="AB650" s="43"/>
      <x:c r="AC650" s="43"/>
      <x:c r="AD650" s="43"/>
      <x:c r="AE650" s="43"/>
      <x:c r="AF650" s="43"/>
      <x:c r="AG650" s="67"/>
      <x:c r="AH650" s="43"/>
      <x:c r="AI650" s="43"/>
    </x:row>
    <x:row r="651">
      <x:c r="A651" s="43"/>
      <x:c r="B651" s="43"/>
      <x:c r="C651" s="43"/>
      <x:c r="D651" s="43" t="str">
        <x:f>IF(C651="","",YEAR(C651))</x:f>
      </x:c>
      <x:c r="E651" s="43" t="str">
        <x:f>IF(C651="","",MONTH(C651))</x:f>
      </x:c>
      <x:c r="F651" s="43" t="str">
        <x:f>IF(C651="","",WEEKNUM(C651,21))</x:f>
      </x:c>
      <x:c r="G651" s="43" t="str">
        <x:f>IF(C651="","",CHOOSE(WEEKDAY(C651,2),"Lundi","Mardi","Mercredi","Jeudi","Vendredi","Samedi","Dimanche"))</x:f>
      </x:c>
      <x:c r="H651" s="43"/>
      <x:c r="I651" s="43"/>
      <x:c r="J651" s="43"/>
      <x:c r="K651" s="43"/>
      <x:c r="L651" s="43"/>
      <x:c r="M651" s="43"/>
      <x:c r="N651" s="43"/>
      <x:c r="O651" s="43"/>
      <x:c r="P651" s="43"/>
      <x:c r="Q651" s="43"/>
      <x:c r="R651" s="43"/>
      <x:c r="S651" s="43"/>
      <x:c r="T651" s="43"/>
      <x:c r="U651" s="43"/>
      <x:c r="V651" s="43"/>
      <x:c r="W651" s="43"/>
      <x:c r="X651" s="43"/>
      <x:c r="Y651" s="43"/>
      <x:c r="Z651" s="43"/>
      <x:c r="AA651" s="43"/>
      <x:c r="AB651" s="43"/>
      <x:c r="AC651" s="43"/>
      <x:c r="AD651" s="43"/>
      <x:c r="AE651" s="43"/>
      <x:c r="AF651" s="43"/>
      <x:c r="AG651" s="67"/>
      <x:c r="AH651" s="43"/>
      <x:c r="AI651" s="43"/>
    </x:row>
    <x:row r="652">
      <x:c r="A652" s="43"/>
      <x:c r="B652" s="43"/>
      <x:c r="C652" s="43"/>
      <x:c r="D652" s="43" t="str">
        <x:f>IF(C652="","",YEAR(C652))</x:f>
      </x:c>
      <x:c r="E652" s="43" t="str">
        <x:f>IF(C652="","",MONTH(C652))</x:f>
      </x:c>
      <x:c r="F652" s="43" t="str">
        <x:f>IF(C652="","",WEEKNUM(C652,21))</x:f>
      </x:c>
      <x:c r="G652" s="43" t="str">
        <x:f>IF(C652="","",CHOOSE(WEEKDAY(C652,2),"Lundi","Mardi","Mercredi","Jeudi","Vendredi","Samedi","Dimanche"))</x:f>
      </x:c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  <x:c r="AA652" s="43"/>
      <x:c r="AB652" s="43"/>
      <x:c r="AC652" s="43"/>
      <x:c r="AD652" s="43"/>
      <x:c r="AE652" s="43"/>
      <x:c r="AF652" s="43"/>
      <x:c r="AG652" s="67"/>
      <x:c r="AH652" s="43"/>
      <x:c r="AI652" s="43"/>
    </x:row>
    <x:row r="653">
      <x:c r="A653" s="43"/>
      <x:c r="B653" s="43"/>
      <x:c r="C653" s="43"/>
      <x:c r="D653" s="43" t="str">
        <x:f>IF(C653="","",YEAR(C653))</x:f>
      </x:c>
      <x:c r="E653" s="43" t="str">
        <x:f>IF(C653="","",MONTH(C653))</x:f>
      </x:c>
      <x:c r="F653" s="43" t="str">
        <x:f>IF(C653="","",WEEKNUM(C653,21))</x:f>
      </x:c>
      <x:c r="G653" s="43" t="str">
        <x:f>IF(C653="","",CHOOSE(WEEKDAY(C653,2),"Lundi","Mardi","Mercredi","Jeudi","Vendredi","Samedi","Dimanche"))</x:f>
      </x:c>
      <x:c r="H653" s="43"/>
      <x:c r="I653" s="43"/>
      <x:c r="J653" s="43"/>
      <x:c r="K653" s="43"/>
      <x:c r="L653" s="43"/>
      <x:c r="M653" s="43"/>
      <x:c r="N653" s="43"/>
      <x:c r="O653" s="43"/>
      <x:c r="P653" s="43"/>
      <x:c r="Q653" s="43"/>
      <x:c r="R653" s="43"/>
      <x:c r="S653" s="43"/>
      <x:c r="T653" s="43"/>
      <x:c r="U653" s="43"/>
      <x:c r="V653" s="43"/>
      <x:c r="W653" s="43"/>
      <x:c r="X653" s="43"/>
      <x:c r="Y653" s="43"/>
      <x:c r="Z653" s="43"/>
      <x:c r="AA653" s="43"/>
      <x:c r="AB653" s="43"/>
      <x:c r="AC653" s="43"/>
      <x:c r="AD653" s="43"/>
      <x:c r="AE653" s="43"/>
      <x:c r="AF653" s="43"/>
      <x:c r="AG653" s="67"/>
      <x:c r="AH653" s="43"/>
      <x:c r="AI653" s="43"/>
    </x:row>
    <x:row r="654">
      <x:c r="A654" s="43"/>
      <x:c r="B654" s="43"/>
      <x:c r="C654" s="43"/>
      <x:c r="D654" s="43" t="str">
        <x:f>IF(C654="","",YEAR(C654))</x:f>
      </x:c>
      <x:c r="E654" s="43" t="str">
        <x:f>IF(C654="","",MONTH(C654))</x:f>
      </x:c>
      <x:c r="F654" s="43" t="str">
        <x:f>IF(C654="","",WEEKNUM(C654,21))</x:f>
      </x:c>
      <x:c r="G654" s="43" t="str">
        <x:f>IF(C654="","",CHOOSE(WEEKDAY(C654,2),"Lundi","Mardi","Mercredi","Jeudi","Vendredi","Samedi","Dimanche"))</x:f>
      </x:c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  <x:c r="AA654" s="43"/>
      <x:c r="AB654" s="43"/>
      <x:c r="AC654" s="43"/>
      <x:c r="AD654" s="43"/>
      <x:c r="AE654" s="43"/>
      <x:c r="AF654" s="43"/>
      <x:c r="AG654" s="67"/>
      <x:c r="AH654" s="43"/>
      <x:c r="AI654" s="43"/>
    </x:row>
    <x:row r="655">
      <x:c r="A655" s="43"/>
      <x:c r="B655" s="43"/>
      <x:c r="C655" s="43"/>
      <x:c r="D655" s="43" t="str">
        <x:f>IF(C655="","",YEAR(C655))</x:f>
      </x:c>
      <x:c r="E655" s="43" t="str">
        <x:f>IF(C655="","",MONTH(C655))</x:f>
      </x:c>
      <x:c r="F655" s="43" t="str">
        <x:f>IF(C655="","",WEEKNUM(C655,21))</x:f>
      </x:c>
      <x:c r="G655" s="43" t="str">
        <x:f>IF(C655="","",CHOOSE(WEEKDAY(C655,2),"Lundi","Mardi","Mercredi","Jeudi","Vendredi","Samedi","Dimanche"))</x:f>
      </x:c>
      <x:c r="H655" s="43"/>
      <x:c r="I655" s="43"/>
      <x:c r="J655" s="43"/>
      <x:c r="K655" s="43"/>
      <x:c r="L655" s="43"/>
      <x:c r="M655" s="43"/>
      <x:c r="N655" s="43"/>
      <x:c r="O655" s="43"/>
      <x:c r="P655" s="43"/>
      <x:c r="Q655" s="43"/>
      <x:c r="R655" s="43"/>
      <x:c r="S655" s="43"/>
      <x:c r="T655" s="43"/>
      <x:c r="U655" s="43"/>
      <x:c r="V655" s="43"/>
      <x:c r="W655" s="43"/>
      <x:c r="X655" s="43"/>
      <x:c r="Y655" s="43"/>
      <x:c r="Z655" s="43"/>
      <x:c r="AA655" s="43"/>
      <x:c r="AB655" s="43"/>
      <x:c r="AC655" s="43"/>
      <x:c r="AD655" s="43"/>
      <x:c r="AE655" s="43"/>
      <x:c r="AF655" s="43"/>
      <x:c r="AG655" s="67"/>
      <x:c r="AH655" s="43"/>
      <x:c r="AI655" s="43"/>
    </x:row>
    <x:row r="656">
      <x:c r="A656" s="43"/>
      <x:c r="B656" s="43"/>
      <x:c r="C656" s="43"/>
      <x:c r="D656" s="43" t="str">
        <x:f>IF(C656="","",YEAR(C656))</x:f>
      </x:c>
      <x:c r="E656" s="43" t="str">
        <x:f>IF(C656="","",MONTH(C656))</x:f>
      </x:c>
      <x:c r="F656" s="43" t="str">
        <x:f>IF(C656="","",WEEKNUM(C656,21))</x:f>
      </x:c>
      <x:c r="G656" s="43" t="str">
        <x:f>IF(C656="","",CHOOSE(WEEKDAY(C656,2),"Lundi","Mardi","Mercredi","Jeudi","Vendredi","Samedi","Dimanche"))</x:f>
      </x:c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  <x:c r="AA656" s="43"/>
      <x:c r="AB656" s="43"/>
      <x:c r="AC656" s="43"/>
      <x:c r="AD656" s="43"/>
      <x:c r="AE656" s="43"/>
      <x:c r="AF656" s="43"/>
      <x:c r="AG656" s="67"/>
      <x:c r="AH656" s="43"/>
      <x:c r="AI656" s="43"/>
    </x:row>
    <x:row r="657">
      <x:c r="A657" s="43"/>
      <x:c r="B657" s="43"/>
      <x:c r="C657" s="43"/>
      <x:c r="D657" s="43" t="str">
        <x:f>IF(C657="","",YEAR(C657))</x:f>
      </x:c>
      <x:c r="E657" s="43" t="str">
        <x:f>IF(C657="","",MONTH(C657))</x:f>
      </x:c>
      <x:c r="F657" s="43" t="str">
        <x:f>IF(C657="","",WEEKNUM(C657,21))</x:f>
      </x:c>
      <x:c r="G657" s="43" t="str">
        <x:f>IF(C657="","",CHOOSE(WEEKDAY(C657,2),"Lundi","Mardi","Mercredi","Jeudi","Vendredi","Samedi","Dimanche"))</x:f>
      </x:c>
      <x:c r="H657" s="43"/>
      <x:c r="I657" s="43"/>
      <x:c r="J657" s="43"/>
      <x:c r="K657" s="43"/>
      <x:c r="L657" s="43"/>
      <x:c r="M657" s="43"/>
      <x:c r="N657" s="43"/>
      <x:c r="O657" s="43"/>
      <x:c r="P657" s="43"/>
      <x:c r="Q657" s="43"/>
      <x:c r="R657" s="43"/>
      <x:c r="S657" s="43"/>
      <x:c r="T657" s="43"/>
      <x:c r="U657" s="43"/>
      <x:c r="V657" s="43"/>
      <x:c r="W657" s="43"/>
      <x:c r="X657" s="43"/>
      <x:c r="Y657" s="43"/>
      <x:c r="Z657" s="43"/>
      <x:c r="AA657" s="43"/>
      <x:c r="AB657" s="43"/>
      <x:c r="AC657" s="43"/>
      <x:c r="AD657" s="43"/>
      <x:c r="AE657" s="43"/>
      <x:c r="AF657" s="43"/>
      <x:c r="AG657" s="67"/>
      <x:c r="AH657" s="43"/>
      <x:c r="AI657" s="43"/>
    </x:row>
    <x:row r="658">
      <x:c r="A658" s="43"/>
      <x:c r="B658" s="43"/>
      <x:c r="C658" s="43"/>
      <x:c r="D658" s="43" t="str">
        <x:f>IF(C658="","",YEAR(C658))</x:f>
      </x:c>
      <x:c r="E658" s="43" t="str">
        <x:f>IF(C658="","",MONTH(C658))</x:f>
      </x:c>
      <x:c r="F658" s="43" t="str">
        <x:f>IF(C658="","",WEEKNUM(C658,21))</x:f>
      </x:c>
      <x:c r="G658" s="43" t="str">
        <x:f>IF(C658="","",CHOOSE(WEEKDAY(C658,2),"Lundi","Mardi","Mercredi","Jeudi","Vendredi","Samedi","Dimanche"))</x:f>
      </x:c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  <x:c r="AA658" s="43"/>
      <x:c r="AB658" s="43"/>
      <x:c r="AC658" s="43"/>
      <x:c r="AD658" s="43"/>
      <x:c r="AE658" s="43"/>
      <x:c r="AF658" s="43"/>
      <x:c r="AG658" s="67"/>
      <x:c r="AH658" s="43"/>
      <x:c r="AI658" s="43"/>
    </x:row>
    <x:row r="659">
      <x:c r="A659" s="43"/>
      <x:c r="B659" s="43"/>
      <x:c r="C659" s="43"/>
      <x:c r="D659" s="43" t="str">
        <x:f>IF(C659="","",YEAR(C659))</x:f>
      </x:c>
      <x:c r="E659" s="43" t="str">
        <x:f>IF(C659="","",MONTH(C659))</x:f>
      </x:c>
      <x:c r="F659" s="43" t="str">
        <x:f>IF(C659="","",WEEKNUM(C659,21))</x:f>
      </x:c>
      <x:c r="G659" s="43" t="str">
        <x:f>IF(C659="","",CHOOSE(WEEKDAY(C659,2),"Lundi","Mardi","Mercredi","Jeudi","Vendredi","Samedi","Dimanche"))</x:f>
      </x:c>
      <x:c r="H659" s="43"/>
      <x:c r="I659" s="43"/>
      <x:c r="J659" s="43"/>
      <x:c r="K659" s="43"/>
      <x:c r="L659" s="43"/>
      <x:c r="M659" s="43"/>
      <x:c r="N659" s="43"/>
      <x:c r="O659" s="43"/>
      <x:c r="P659" s="43"/>
      <x:c r="Q659" s="43"/>
      <x:c r="R659" s="43"/>
      <x:c r="S659" s="43"/>
      <x:c r="T659" s="43"/>
      <x:c r="U659" s="43"/>
      <x:c r="V659" s="43"/>
      <x:c r="W659" s="43"/>
      <x:c r="X659" s="43"/>
      <x:c r="Y659" s="43"/>
      <x:c r="Z659" s="43"/>
      <x:c r="AA659" s="43"/>
      <x:c r="AB659" s="43"/>
      <x:c r="AC659" s="43"/>
      <x:c r="AD659" s="43"/>
      <x:c r="AE659" s="43"/>
      <x:c r="AF659" s="43"/>
      <x:c r="AG659" s="67"/>
      <x:c r="AH659" s="43"/>
      <x:c r="AI659" s="43"/>
    </x:row>
    <x:row r="660">
      <x:c r="A660" s="43"/>
      <x:c r="B660" s="43"/>
      <x:c r="C660" s="43"/>
      <x:c r="D660" s="43" t="str">
        <x:f>IF(C660="","",YEAR(C660))</x:f>
      </x:c>
      <x:c r="E660" s="43" t="str">
        <x:f>IF(C660="","",MONTH(C660))</x:f>
      </x:c>
      <x:c r="F660" s="43" t="str">
        <x:f>IF(C660="","",WEEKNUM(C660,21))</x:f>
      </x:c>
      <x:c r="G660" s="43" t="str">
        <x:f>IF(C660="","",CHOOSE(WEEKDAY(C660,2),"Lundi","Mardi","Mercredi","Jeudi","Vendredi","Samedi","Dimanche"))</x:f>
      </x:c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  <x:c r="AA660" s="43"/>
      <x:c r="AB660" s="43"/>
      <x:c r="AC660" s="43"/>
      <x:c r="AD660" s="43"/>
      <x:c r="AE660" s="43"/>
      <x:c r="AF660" s="43"/>
      <x:c r="AG660" s="67"/>
      <x:c r="AH660" s="43"/>
      <x:c r="AI660" s="43"/>
    </x:row>
    <x:row r="661">
      <x:c r="A661" s="43"/>
      <x:c r="B661" s="43"/>
      <x:c r="C661" s="43"/>
      <x:c r="D661" s="43" t="str">
        <x:f>IF(C661="","",YEAR(C661))</x:f>
      </x:c>
      <x:c r="E661" s="43" t="str">
        <x:f>IF(C661="","",MONTH(C661))</x:f>
      </x:c>
      <x:c r="F661" s="43" t="str">
        <x:f>IF(C661="","",WEEKNUM(C661,21))</x:f>
      </x:c>
      <x:c r="G661" s="43" t="str">
        <x:f>IF(C661="","",CHOOSE(WEEKDAY(C661,2),"Lundi","Mardi","Mercredi","Jeudi","Vendredi","Samedi","Dimanche"))</x:f>
      </x:c>
      <x:c r="H661" s="43"/>
      <x:c r="I661" s="43"/>
      <x:c r="J661" s="43"/>
      <x:c r="K661" s="43"/>
      <x:c r="L661" s="43"/>
      <x:c r="M661" s="43"/>
      <x:c r="N661" s="43"/>
      <x:c r="O661" s="43"/>
      <x:c r="P661" s="43"/>
      <x:c r="Q661" s="43"/>
      <x:c r="R661" s="43"/>
      <x:c r="S661" s="43"/>
      <x:c r="T661" s="43"/>
      <x:c r="U661" s="43"/>
      <x:c r="V661" s="43"/>
      <x:c r="W661" s="43"/>
      <x:c r="X661" s="43"/>
      <x:c r="Y661" s="43"/>
      <x:c r="Z661" s="43"/>
      <x:c r="AA661" s="43"/>
      <x:c r="AB661" s="43"/>
      <x:c r="AC661" s="43"/>
      <x:c r="AD661" s="43"/>
      <x:c r="AE661" s="43"/>
      <x:c r="AF661" s="43"/>
      <x:c r="AG661" s="67"/>
      <x:c r="AH661" s="43"/>
      <x:c r="AI661" s="43"/>
    </x:row>
    <x:row r="662">
      <x:c r="A662" s="43"/>
      <x:c r="B662" s="43"/>
      <x:c r="C662" s="43"/>
      <x:c r="D662" s="43" t="str">
        <x:f>IF(C662="","",YEAR(C662))</x:f>
      </x:c>
      <x:c r="E662" s="43" t="str">
        <x:f>IF(C662="","",MONTH(C662))</x:f>
      </x:c>
      <x:c r="F662" s="43" t="str">
        <x:f>IF(C662="","",WEEKNUM(C662,21))</x:f>
      </x:c>
      <x:c r="G662" s="43" t="str">
        <x:f>IF(C662="","",CHOOSE(WEEKDAY(C662,2),"Lundi","Mardi","Mercredi","Jeudi","Vendredi","Samedi","Dimanche"))</x:f>
      </x:c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  <x:c r="AA662" s="43"/>
      <x:c r="AB662" s="43"/>
      <x:c r="AC662" s="43"/>
      <x:c r="AD662" s="43"/>
      <x:c r="AE662" s="43"/>
      <x:c r="AF662" s="43"/>
      <x:c r="AG662" s="67"/>
      <x:c r="AH662" s="43"/>
      <x:c r="AI662" s="43"/>
    </x:row>
    <x:row r="663">
      <x:c r="A663" s="43"/>
      <x:c r="B663" s="43"/>
      <x:c r="C663" s="43"/>
      <x:c r="D663" s="43" t="str">
        <x:f>IF(C663="","",YEAR(C663))</x:f>
      </x:c>
      <x:c r="E663" s="43" t="str">
        <x:f>IF(C663="","",MONTH(C663))</x:f>
      </x:c>
      <x:c r="F663" s="43" t="str">
        <x:f>IF(C663="","",WEEKNUM(C663,21))</x:f>
      </x:c>
      <x:c r="G663" s="43" t="str">
        <x:f>IF(C663="","",CHOOSE(WEEKDAY(C663,2),"Lundi","Mardi","Mercredi","Jeudi","Vendredi","Samedi","Dimanche"))</x:f>
      </x:c>
      <x:c r="H663" s="43"/>
      <x:c r="I663" s="43"/>
      <x:c r="J663" s="43"/>
      <x:c r="K663" s="43"/>
      <x:c r="L663" s="43"/>
      <x:c r="M663" s="43"/>
      <x:c r="N663" s="43"/>
      <x:c r="O663" s="43"/>
      <x:c r="P663" s="43"/>
      <x:c r="Q663" s="43"/>
      <x:c r="R663" s="43"/>
      <x:c r="S663" s="43"/>
      <x:c r="T663" s="43"/>
      <x:c r="U663" s="43"/>
      <x:c r="V663" s="43"/>
      <x:c r="W663" s="43"/>
      <x:c r="X663" s="43"/>
      <x:c r="Y663" s="43"/>
      <x:c r="Z663" s="43"/>
      <x:c r="AA663" s="43"/>
      <x:c r="AB663" s="43"/>
      <x:c r="AC663" s="43"/>
      <x:c r="AD663" s="43"/>
      <x:c r="AE663" s="43"/>
      <x:c r="AF663" s="43"/>
      <x:c r="AG663" s="67"/>
      <x:c r="AH663" s="43"/>
      <x:c r="AI663" s="43"/>
    </x:row>
    <x:row r="664">
      <x:c r="A664" s="43"/>
      <x:c r="B664" s="43"/>
      <x:c r="C664" s="43"/>
      <x:c r="D664" s="43" t="str">
        <x:f>IF(C664="","",YEAR(C664))</x:f>
      </x:c>
      <x:c r="E664" s="43" t="str">
        <x:f>IF(C664="","",MONTH(C664))</x:f>
      </x:c>
      <x:c r="F664" s="43" t="str">
        <x:f>IF(C664="","",WEEKNUM(C664,21))</x:f>
      </x:c>
      <x:c r="G664" s="43" t="str">
        <x:f>IF(C664="","",CHOOSE(WEEKDAY(C664,2),"Lundi","Mardi","Mercredi","Jeudi","Vendredi","Samedi","Dimanche"))</x:f>
      </x:c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  <x:c r="AA664" s="43"/>
      <x:c r="AB664" s="43"/>
      <x:c r="AC664" s="43"/>
      <x:c r="AD664" s="43"/>
      <x:c r="AE664" s="43"/>
      <x:c r="AF664" s="43"/>
      <x:c r="AG664" s="67"/>
      <x:c r="AH664" s="43"/>
      <x:c r="AI664" s="43"/>
    </x:row>
    <x:row r="665">
      <x:c r="A665" s="43"/>
      <x:c r="B665" s="43"/>
      <x:c r="C665" s="43"/>
      <x:c r="D665" s="43" t="str">
        <x:f>IF(C665="","",YEAR(C665))</x:f>
      </x:c>
      <x:c r="E665" s="43" t="str">
        <x:f>IF(C665="","",MONTH(C665))</x:f>
      </x:c>
      <x:c r="F665" s="43" t="str">
        <x:f>IF(C665="","",WEEKNUM(C665,21))</x:f>
      </x:c>
      <x:c r="G665" s="43" t="str">
        <x:f>IF(C665="","",CHOOSE(WEEKDAY(C665,2),"Lundi","Mardi","Mercredi","Jeudi","Vendredi","Samedi","Dimanche"))</x:f>
      </x:c>
      <x:c r="H665" s="43"/>
      <x:c r="I665" s="43"/>
      <x:c r="J665" s="43"/>
      <x:c r="K665" s="43"/>
      <x:c r="L665" s="43"/>
      <x:c r="M665" s="43"/>
      <x:c r="N665" s="43"/>
      <x:c r="O665" s="43"/>
      <x:c r="P665" s="43"/>
      <x:c r="Q665" s="43"/>
      <x:c r="R665" s="43"/>
      <x:c r="S665" s="43"/>
      <x:c r="T665" s="43"/>
      <x:c r="U665" s="43"/>
      <x:c r="V665" s="43"/>
      <x:c r="W665" s="43"/>
      <x:c r="X665" s="43"/>
      <x:c r="Y665" s="43"/>
      <x:c r="Z665" s="43"/>
      <x:c r="AA665" s="43"/>
      <x:c r="AB665" s="43"/>
      <x:c r="AC665" s="43"/>
      <x:c r="AD665" s="43"/>
      <x:c r="AE665" s="43"/>
      <x:c r="AF665" s="43"/>
      <x:c r="AG665" s="67"/>
      <x:c r="AH665" s="43"/>
      <x:c r="AI665" s="43"/>
    </x:row>
    <x:row r="666">
      <x:c r="A666" s="43"/>
      <x:c r="B666" s="43"/>
      <x:c r="C666" s="43"/>
      <x:c r="D666" s="43" t="str">
        <x:f>IF(C666="","",YEAR(C666))</x:f>
      </x:c>
      <x:c r="E666" s="43" t="str">
        <x:f>IF(C666="","",MONTH(C666))</x:f>
      </x:c>
      <x:c r="F666" s="43" t="str">
        <x:f>IF(C666="","",WEEKNUM(C666,21))</x:f>
      </x:c>
      <x:c r="G666" s="43" t="str">
        <x:f>IF(C666="","",CHOOSE(WEEKDAY(C666,2),"Lundi","Mardi","Mercredi","Jeudi","Vendredi","Samedi","Dimanche"))</x:f>
      </x:c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  <x:c r="AA666" s="43"/>
      <x:c r="AB666" s="43"/>
      <x:c r="AC666" s="43"/>
      <x:c r="AD666" s="43"/>
      <x:c r="AE666" s="43"/>
      <x:c r="AF666" s="43"/>
      <x:c r="AG666" s="67"/>
      <x:c r="AH666" s="43"/>
      <x:c r="AI666" s="43"/>
    </x:row>
    <x:row r="667">
      <x:c r="A667" s="43"/>
      <x:c r="B667" s="43"/>
      <x:c r="C667" s="43"/>
      <x:c r="D667" s="43" t="str">
        <x:f>IF(C667="","",YEAR(C667))</x:f>
      </x:c>
      <x:c r="E667" s="43" t="str">
        <x:f>IF(C667="","",MONTH(C667))</x:f>
      </x:c>
      <x:c r="F667" s="43" t="str">
        <x:f>IF(C667="","",WEEKNUM(C667,21))</x:f>
      </x:c>
      <x:c r="G667" s="43" t="str">
        <x:f>IF(C667="","",CHOOSE(WEEKDAY(C667,2),"Lundi","Mardi","Mercredi","Jeudi","Vendredi","Samedi","Dimanche"))</x:f>
      </x:c>
      <x:c r="H667" s="43"/>
      <x:c r="I667" s="43"/>
      <x:c r="J667" s="43"/>
      <x:c r="K667" s="43"/>
      <x:c r="L667" s="43"/>
      <x:c r="M667" s="43"/>
      <x:c r="N667" s="43"/>
      <x:c r="O667" s="43"/>
      <x:c r="P667" s="43"/>
      <x:c r="Q667" s="43"/>
      <x:c r="R667" s="43"/>
      <x:c r="S667" s="43"/>
      <x:c r="T667" s="43"/>
      <x:c r="U667" s="43"/>
      <x:c r="V667" s="43"/>
      <x:c r="W667" s="43"/>
      <x:c r="X667" s="43"/>
      <x:c r="Y667" s="43"/>
      <x:c r="Z667" s="43"/>
      <x:c r="AA667" s="43"/>
      <x:c r="AB667" s="43"/>
      <x:c r="AC667" s="43"/>
      <x:c r="AD667" s="43"/>
      <x:c r="AE667" s="43"/>
      <x:c r="AF667" s="43"/>
      <x:c r="AG667" s="67"/>
      <x:c r="AH667" s="43"/>
      <x:c r="AI667" s="43"/>
    </x:row>
    <x:row r="668">
      <x:c r="A668" s="43"/>
      <x:c r="B668" s="43"/>
      <x:c r="C668" s="43"/>
      <x:c r="D668" s="43" t="str">
        <x:f>IF(C668="","",YEAR(C668))</x:f>
      </x:c>
      <x:c r="E668" s="43" t="str">
        <x:f>IF(C668="","",MONTH(C668))</x:f>
      </x:c>
      <x:c r="F668" s="43" t="str">
        <x:f>IF(C668="","",WEEKNUM(C668,21))</x:f>
      </x:c>
      <x:c r="G668" s="43" t="str">
        <x:f>IF(C668="","",CHOOSE(WEEKDAY(C668,2),"Lundi","Mardi","Mercredi","Jeudi","Vendredi","Samedi","Dimanche"))</x:f>
      </x:c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  <x:c r="AA668" s="43"/>
      <x:c r="AB668" s="43"/>
      <x:c r="AC668" s="43"/>
      <x:c r="AD668" s="43"/>
      <x:c r="AE668" s="43"/>
      <x:c r="AF668" s="43"/>
      <x:c r="AG668" s="67"/>
      <x:c r="AH668" s="43"/>
      <x:c r="AI668" s="43"/>
    </x:row>
    <x:row r="669">
      <x:c r="A669" s="43"/>
      <x:c r="B669" s="43"/>
      <x:c r="C669" s="43"/>
      <x:c r="D669" s="43" t="str">
        <x:f>IF(C669="","",YEAR(C669))</x:f>
      </x:c>
      <x:c r="E669" s="43" t="str">
        <x:f>IF(C669="","",MONTH(C669))</x:f>
      </x:c>
      <x:c r="F669" s="43" t="str">
        <x:f>IF(C669="","",WEEKNUM(C669,21))</x:f>
      </x:c>
      <x:c r="G669" s="43" t="str">
        <x:f>IF(C669="","",CHOOSE(WEEKDAY(C669,2),"Lundi","Mardi","Mercredi","Jeudi","Vendredi","Samedi","Dimanche"))</x:f>
      </x:c>
      <x:c r="H669" s="43"/>
      <x:c r="I669" s="43"/>
      <x:c r="J669" s="43"/>
      <x:c r="K669" s="43"/>
      <x:c r="L669" s="43"/>
      <x:c r="M669" s="43"/>
      <x:c r="N669" s="43"/>
      <x:c r="O669" s="43"/>
      <x:c r="P669" s="43"/>
      <x:c r="Q669" s="43"/>
      <x:c r="R669" s="43"/>
      <x:c r="S669" s="43"/>
      <x:c r="T669" s="43"/>
      <x:c r="U669" s="43"/>
      <x:c r="V669" s="43"/>
      <x:c r="W669" s="43"/>
      <x:c r="X669" s="43"/>
      <x:c r="Y669" s="43"/>
      <x:c r="Z669" s="43"/>
      <x:c r="AA669" s="43"/>
      <x:c r="AB669" s="43"/>
      <x:c r="AC669" s="43"/>
      <x:c r="AD669" s="43"/>
      <x:c r="AE669" s="43"/>
      <x:c r="AF669" s="43"/>
      <x:c r="AG669" s="67"/>
      <x:c r="AH669" s="43"/>
      <x:c r="AI669" s="43"/>
    </x:row>
    <x:row r="670">
      <x:c r="A670" s="43"/>
      <x:c r="B670" s="43"/>
      <x:c r="C670" s="43"/>
      <x:c r="D670" s="43" t="str">
        <x:f>IF(C670="","",YEAR(C670))</x:f>
      </x:c>
      <x:c r="E670" s="43" t="str">
        <x:f>IF(C670="","",MONTH(C670))</x:f>
      </x:c>
      <x:c r="F670" s="43" t="str">
        <x:f>IF(C670="","",WEEKNUM(C670,21))</x:f>
      </x:c>
      <x:c r="G670" s="43" t="str">
        <x:f>IF(C670="","",CHOOSE(WEEKDAY(C670,2),"Lundi","Mardi","Mercredi","Jeudi","Vendredi","Samedi","Dimanche"))</x:f>
      </x:c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  <x:c r="AA670" s="43"/>
      <x:c r="AB670" s="43"/>
      <x:c r="AC670" s="43"/>
      <x:c r="AD670" s="43"/>
      <x:c r="AE670" s="43"/>
      <x:c r="AF670" s="43"/>
      <x:c r="AG670" s="67"/>
      <x:c r="AH670" s="43"/>
      <x:c r="AI670" s="43"/>
    </x:row>
    <x:row r="671">
      <x:c r="A671" s="43"/>
      <x:c r="B671" s="43"/>
      <x:c r="C671" s="43"/>
      <x:c r="D671" s="43" t="str">
        <x:f>IF(C671="","",YEAR(C671))</x:f>
      </x:c>
      <x:c r="E671" s="43" t="str">
        <x:f>IF(C671="","",MONTH(C671))</x:f>
      </x:c>
      <x:c r="F671" s="43" t="str">
        <x:f>IF(C671="","",WEEKNUM(C671,21))</x:f>
      </x:c>
      <x:c r="G671" s="43" t="str">
        <x:f>IF(C671="","",CHOOSE(WEEKDAY(C671,2),"Lundi","Mardi","Mercredi","Jeudi","Vendredi","Samedi","Dimanche"))</x:f>
      </x:c>
      <x:c r="H671" s="43"/>
      <x:c r="I671" s="43"/>
      <x:c r="J671" s="43"/>
      <x:c r="K671" s="43"/>
      <x:c r="L671" s="43"/>
      <x:c r="M671" s="43"/>
      <x:c r="N671" s="43"/>
      <x:c r="O671" s="43"/>
      <x:c r="P671" s="43"/>
      <x:c r="Q671" s="43"/>
      <x:c r="R671" s="43"/>
      <x:c r="S671" s="43"/>
      <x:c r="T671" s="43"/>
      <x:c r="U671" s="43"/>
      <x:c r="V671" s="43"/>
      <x:c r="W671" s="43"/>
      <x:c r="X671" s="43"/>
      <x:c r="Y671" s="43"/>
      <x:c r="Z671" s="43"/>
      <x:c r="AA671" s="43"/>
      <x:c r="AB671" s="43"/>
      <x:c r="AC671" s="43"/>
      <x:c r="AD671" s="43"/>
      <x:c r="AE671" s="43"/>
      <x:c r="AF671" s="43"/>
      <x:c r="AG671" s="67"/>
      <x:c r="AH671" s="43"/>
      <x:c r="AI671" s="43"/>
    </x:row>
    <x:row r="672">
      <x:c r="A672" s="43"/>
      <x:c r="B672" s="43"/>
      <x:c r="C672" s="43"/>
      <x:c r="D672" s="43" t="str">
        <x:f>IF(C672="","",YEAR(C672))</x:f>
      </x:c>
      <x:c r="E672" s="43" t="str">
        <x:f>IF(C672="","",MONTH(C672))</x:f>
      </x:c>
      <x:c r="F672" s="43" t="str">
        <x:f>IF(C672="","",WEEKNUM(C672,21))</x:f>
      </x:c>
      <x:c r="G672" s="43" t="str">
        <x:f>IF(C672="","",CHOOSE(WEEKDAY(C672,2),"Lundi","Mardi","Mercredi","Jeudi","Vendredi","Samedi","Dimanche"))</x:f>
      </x:c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  <x:c r="AA672" s="43"/>
      <x:c r="AB672" s="43"/>
      <x:c r="AC672" s="43"/>
      <x:c r="AD672" s="43"/>
      <x:c r="AE672" s="43"/>
      <x:c r="AF672" s="43"/>
      <x:c r="AG672" s="67"/>
      <x:c r="AH672" s="43"/>
      <x:c r="AI672" s="43"/>
    </x:row>
    <x:row r="673">
      <x:c r="A673" s="43"/>
      <x:c r="B673" s="43"/>
      <x:c r="C673" s="43"/>
      <x:c r="D673" s="43" t="str">
        <x:f>IF(C673="","",YEAR(C673))</x:f>
      </x:c>
      <x:c r="E673" s="43" t="str">
        <x:f>IF(C673="","",MONTH(C673))</x:f>
      </x:c>
      <x:c r="F673" s="43" t="str">
        <x:f>IF(C673="","",WEEKNUM(C673,21))</x:f>
      </x:c>
      <x:c r="G673" s="43" t="str">
        <x:f>IF(C673="","",CHOOSE(WEEKDAY(C673,2),"Lundi","Mardi","Mercredi","Jeudi","Vendredi","Samedi","Dimanche"))</x:f>
      </x:c>
      <x:c r="H673" s="43"/>
      <x:c r="I673" s="43"/>
      <x:c r="J673" s="43"/>
      <x:c r="K673" s="43"/>
      <x:c r="L673" s="43"/>
      <x:c r="M673" s="43"/>
      <x:c r="N673" s="43"/>
      <x:c r="O673" s="43"/>
      <x:c r="P673" s="43"/>
      <x:c r="Q673" s="43"/>
      <x:c r="R673" s="43"/>
      <x:c r="S673" s="43"/>
      <x:c r="T673" s="43"/>
      <x:c r="U673" s="43"/>
      <x:c r="V673" s="43"/>
      <x:c r="W673" s="43"/>
      <x:c r="X673" s="43"/>
      <x:c r="Y673" s="43"/>
      <x:c r="Z673" s="43"/>
      <x:c r="AA673" s="43"/>
      <x:c r="AB673" s="43"/>
      <x:c r="AC673" s="43"/>
      <x:c r="AD673" s="43"/>
      <x:c r="AE673" s="43"/>
      <x:c r="AF673" s="43"/>
      <x:c r="AG673" s="67"/>
      <x:c r="AH673" s="43"/>
      <x:c r="AI673" s="43"/>
    </x:row>
    <x:row r="674">
      <x:c r="A674" s="43"/>
      <x:c r="B674" s="43"/>
      <x:c r="C674" s="43"/>
      <x:c r="D674" s="43" t="str">
        <x:f>IF(C674="","",YEAR(C674))</x:f>
      </x:c>
      <x:c r="E674" s="43" t="str">
        <x:f>IF(C674="","",MONTH(C674))</x:f>
      </x:c>
      <x:c r="F674" s="43" t="str">
        <x:f>IF(C674="","",WEEKNUM(C674,21))</x:f>
      </x:c>
      <x:c r="G674" s="43" t="str">
        <x:f>IF(C674="","",CHOOSE(WEEKDAY(C674,2),"Lundi","Mardi","Mercredi","Jeudi","Vendredi","Samedi","Dimanche"))</x:f>
      </x:c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  <x:c r="AA674" s="43"/>
      <x:c r="AB674" s="43"/>
      <x:c r="AC674" s="43"/>
      <x:c r="AD674" s="43"/>
      <x:c r="AE674" s="43"/>
      <x:c r="AF674" s="43"/>
      <x:c r="AG674" s="67"/>
      <x:c r="AH674" s="43"/>
      <x:c r="AI674" s="43"/>
    </x:row>
    <x:row r="675">
      <x:c r="A675" s="43"/>
      <x:c r="B675" s="43"/>
      <x:c r="C675" s="43"/>
      <x:c r="D675" s="43" t="str">
        <x:f>IF(C675="","",YEAR(C675))</x:f>
      </x:c>
      <x:c r="E675" s="43" t="str">
        <x:f>IF(C675="","",MONTH(C675))</x:f>
      </x:c>
      <x:c r="F675" s="43" t="str">
        <x:f>IF(C675="","",WEEKNUM(C675,21))</x:f>
      </x:c>
      <x:c r="G675" s="43" t="str">
        <x:f>IF(C675="","",CHOOSE(WEEKDAY(C675,2),"Lundi","Mardi","Mercredi","Jeudi","Vendredi","Samedi","Dimanche"))</x:f>
      </x:c>
      <x:c r="H675" s="43"/>
      <x:c r="I675" s="43"/>
      <x:c r="J675" s="43"/>
      <x:c r="K675" s="43"/>
      <x:c r="L675" s="43"/>
      <x:c r="M675" s="43"/>
      <x:c r="N675" s="43"/>
      <x:c r="O675" s="43"/>
      <x:c r="P675" s="43"/>
      <x:c r="Q675" s="43"/>
      <x:c r="R675" s="43"/>
      <x:c r="S675" s="43"/>
      <x:c r="T675" s="43"/>
      <x:c r="U675" s="43"/>
      <x:c r="V675" s="43"/>
      <x:c r="W675" s="43"/>
      <x:c r="X675" s="43"/>
      <x:c r="Y675" s="43"/>
      <x:c r="Z675" s="43"/>
      <x:c r="AA675" s="43"/>
      <x:c r="AB675" s="43"/>
      <x:c r="AC675" s="43"/>
      <x:c r="AD675" s="43"/>
      <x:c r="AE675" s="43"/>
      <x:c r="AF675" s="43"/>
      <x:c r="AG675" s="67"/>
      <x:c r="AH675" s="43"/>
      <x:c r="AI675" s="43"/>
    </x:row>
    <x:row r="676">
      <x:c r="A676" s="43"/>
      <x:c r="B676" s="43"/>
      <x:c r="C676" s="43"/>
      <x:c r="D676" s="43" t="str">
        <x:f>IF(C676="","",YEAR(C676))</x:f>
      </x:c>
      <x:c r="E676" s="43" t="str">
        <x:f>IF(C676="","",MONTH(C676))</x:f>
      </x:c>
      <x:c r="F676" s="43" t="str">
        <x:f>IF(C676="","",WEEKNUM(C676,21))</x:f>
      </x:c>
      <x:c r="G676" s="43" t="str">
        <x:f>IF(C676="","",CHOOSE(WEEKDAY(C676,2),"Lundi","Mardi","Mercredi","Jeudi","Vendredi","Samedi","Dimanche"))</x:f>
      </x:c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  <x:c r="AA676" s="43"/>
      <x:c r="AB676" s="43"/>
      <x:c r="AC676" s="43"/>
      <x:c r="AD676" s="43"/>
      <x:c r="AE676" s="43"/>
      <x:c r="AF676" s="43"/>
      <x:c r="AG676" s="67"/>
      <x:c r="AH676" s="43"/>
      <x:c r="AI676" s="43"/>
    </x:row>
    <x:row r="677">
      <x:c r="A677" s="43"/>
      <x:c r="B677" s="43"/>
      <x:c r="C677" s="43"/>
      <x:c r="D677" s="43" t="str">
        <x:f>IF(C677="","",YEAR(C677))</x:f>
      </x:c>
      <x:c r="E677" s="43" t="str">
        <x:f>IF(C677="","",MONTH(C677))</x:f>
      </x:c>
      <x:c r="F677" s="43" t="str">
        <x:f>IF(C677="","",WEEKNUM(C677,21))</x:f>
      </x:c>
      <x:c r="G677" s="43" t="str">
        <x:f>IF(C677="","",CHOOSE(WEEKDAY(C677,2),"Lundi","Mardi","Mercredi","Jeudi","Vendredi","Samedi","Dimanche"))</x:f>
      </x:c>
      <x:c r="H677" s="43"/>
      <x:c r="I677" s="43"/>
      <x:c r="J677" s="43"/>
      <x:c r="K677" s="43"/>
      <x:c r="L677" s="43"/>
      <x:c r="M677" s="43"/>
      <x:c r="N677" s="43"/>
      <x:c r="O677" s="43"/>
      <x:c r="P677" s="43"/>
      <x:c r="Q677" s="43"/>
      <x:c r="R677" s="43"/>
      <x:c r="S677" s="43"/>
      <x:c r="T677" s="43"/>
      <x:c r="U677" s="43"/>
      <x:c r="V677" s="43"/>
      <x:c r="W677" s="43"/>
      <x:c r="X677" s="43"/>
      <x:c r="Y677" s="43"/>
      <x:c r="Z677" s="43"/>
      <x:c r="AA677" s="43"/>
      <x:c r="AB677" s="43"/>
      <x:c r="AC677" s="43"/>
      <x:c r="AD677" s="43"/>
      <x:c r="AE677" s="43"/>
      <x:c r="AF677" s="43"/>
      <x:c r="AG677" s="67"/>
      <x:c r="AH677" s="43"/>
      <x:c r="AI677" s="43"/>
    </x:row>
    <x:row r="678">
      <x:c r="A678" s="43"/>
      <x:c r="B678" s="43"/>
      <x:c r="C678" s="43"/>
      <x:c r="D678" s="43" t="str">
        <x:f>IF(C678="","",YEAR(C678))</x:f>
      </x:c>
      <x:c r="E678" s="43" t="str">
        <x:f>IF(C678="","",MONTH(C678))</x:f>
      </x:c>
      <x:c r="F678" s="43" t="str">
        <x:f>IF(C678="","",WEEKNUM(C678,21))</x:f>
      </x:c>
      <x:c r="G678" s="43" t="str">
        <x:f>IF(C678="","",CHOOSE(WEEKDAY(C678,2),"Lundi","Mardi","Mercredi","Jeudi","Vendredi","Samedi","Dimanche"))</x:f>
      </x:c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  <x:c r="AA678" s="43"/>
      <x:c r="AB678" s="43"/>
      <x:c r="AC678" s="43"/>
      <x:c r="AD678" s="43"/>
      <x:c r="AE678" s="43"/>
      <x:c r="AF678" s="43"/>
      <x:c r="AG678" s="67"/>
      <x:c r="AH678" s="43"/>
      <x:c r="AI678" s="43"/>
    </x:row>
    <x:row r="679">
      <x:c r="A679" s="43"/>
      <x:c r="B679" s="43"/>
      <x:c r="C679" s="43"/>
      <x:c r="D679" s="43" t="str">
        <x:f>IF(C679="","",YEAR(C679))</x:f>
      </x:c>
      <x:c r="E679" s="43" t="str">
        <x:f>IF(C679="","",MONTH(C679))</x:f>
      </x:c>
      <x:c r="F679" s="43" t="str">
        <x:f>IF(C679="","",WEEKNUM(C679,21))</x:f>
      </x:c>
      <x:c r="G679" s="43" t="str">
        <x:f>IF(C679="","",CHOOSE(WEEKDAY(C679,2),"Lundi","Mardi","Mercredi","Jeudi","Vendredi","Samedi","Dimanche"))</x:f>
      </x:c>
      <x:c r="H679" s="43"/>
      <x:c r="I679" s="43"/>
      <x:c r="J679" s="43"/>
      <x:c r="K679" s="43"/>
      <x:c r="L679" s="43"/>
      <x:c r="M679" s="43"/>
      <x:c r="N679" s="43"/>
      <x:c r="O679" s="43"/>
      <x:c r="P679" s="43"/>
      <x:c r="Q679" s="43"/>
      <x:c r="R679" s="43"/>
      <x:c r="S679" s="43"/>
      <x:c r="T679" s="43"/>
      <x:c r="U679" s="43"/>
      <x:c r="V679" s="43"/>
      <x:c r="W679" s="43"/>
      <x:c r="X679" s="43"/>
      <x:c r="Y679" s="43"/>
      <x:c r="Z679" s="43"/>
      <x:c r="AA679" s="43"/>
      <x:c r="AB679" s="43"/>
      <x:c r="AC679" s="43"/>
      <x:c r="AD679" s="43"/>
      <x:c r="AE679" s="43"/>
      <x:c r="AF679" s="43"/>
      <x:c r="AG679" s="67"/>
      <x:c r="AH679" s="43"/>
      <x:c r="AI679" s="43"/>
    </x:row>
    <x:row r="680">
      <x:c r="A680" s="43"/>
      <x:c r="B680" s="43"/>
      <x:c r="C680" s="43"/>
      <x:c r="D680" s="43" t="str">
        <x:f>IF(C680="","",YEAR(C680))</x:f>
      </x:c>
      <x:c r="E680" s="43" t="str">
        <x:f>IF(C680="","",MONTH(C680))</x:f>
      </x:c>
      <x:c r="F680" s="43" t="str">
        <x:f>IF(C680="","",WEEKNUM(C680,21))</x:f>
      </x:c>
      <x:c r="G680" s="43" t="str">
        <x:f>IF(C680="","",CHOOSE(WEEKDAY(C680,2),"Lundi","Mardi","Mercredi","Jeudi","Vendredi","Samedi","Dimanche"))</x:f>
      </x:c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  <x:c r="AA680" s="43"/>
      <x:c r="AB680" s="43"/>
      <x:c r="AC680" s="43"/>
      <x:c r="AD680" s="43"/>
      <x:c r="AE680" s="43"/>
      <x:c r="AF680" s="43"/>
      <x:c r="AG680" s="67"/>
      <x:c r="AH680" s="43"/>
      <x:c r="AI680" s="43"/>
    </x:row>
    <x:row r="681">
      <x:c r="A681" s="43"/>
      <x:c r="B681" s="43"/>
      <x:c r="C681" s="43"/>
      <x:c r="D681" s="43" t="str">
        <x:f>IF(C681="","",YEAR(C681))</x:f>
      </x:c>
      <x:c r="E681" s="43" t="str">
        <x:f>IF(C681="","",MONTH(C681))</x:f>
      </x:c>
      <x:c r="F681" s="43" t="str">
        <x:f>IF(C681="","",WEEKNUM(C681,21))</x:f>
      </x:c>
      <x:c r="G681" s="43" t="str">
        <x:f>IF(C681="","",CHOOSE(WEEKDAY(C681,2),"Lundi","Mardi","Mercredi","Jeudi","Vendredi","Samedi","Dimanche"))</x:f>
      </x:c>
      <x:c r="H681" s="43"/>
      <x:c r="I681" s="43"/>
      <x:c r="J681" s="43"/>
      <x:c r="K681" s="43"/>
      <x:c r="L681" s="43"/>
      <x:c r="M681" s="43"/>
      <x:c r="N681" s="43"/>
      <x:c r="O681" s="43"/>
      <x:c r="P681" s="43"/>
      <x:c r="Q681" s="43"/>
      <x:c r="R681" s="43"/>
      <x:c r="S681" s="43"/>
      <x:c r="T681" s="43"/>
      <x:c r="U681" s="43"/>
      <x:c r="V681" s="43"/>
      <x:c r="W681" s="43"/>
      <x:c r="X681" s="43"/>
      <x:c r="Y681" s="43"/>
      <x:c r="Z681" s="43"/>
      <x:c r="AA681" s="43"/>
      <x:c r="AB681" s="43"/>
      <x:c r="AC681" s="43"/>
      <x:c r="AD681" s="43"/>
      <x:c r="AE681" s="43"/>
      <x:c r="AF681" s="43"/>
      <x:c r="AG681" s="67"/>
      <x:c r="AH681" s="43"/>
      <x:c r="AI681" s="43"/>
    </x:row>
    <x:row r="682">
      <x:c r="A682" s="43"/>
      <x:c r="B682" s="43"/>
      <x:c r="C682" s="43"/>
      <x:c r="D682" s="43" t="str">
        <x:f>IF(C682="","",YEAR(C682))</x:f>
      </x:c>
      <x:c r="E682" s="43" t="str">
        <x:f>IF(C682="","",MONTH(C682))</x:f>
      </x:c>
      <x:c r="F682" s="43" t="str">
        <x:f>IF(C682="","",WEEKNUM(C682,21))</x:f>
      </x:c>
      <x:c r="G682" s="43" t="str">
        <x:f>IF(C682="","",CHOOSE(WEEKDAY(C682,2),"Lundi","Mardi","Mercredi","Jeudi","Vendredi","Samedi","Dimanche"))</x:f>
      </x:c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  <x:c r="AA682" s="43"/>
      <x:c r="AB682" s="43"/>
      <x:c r="AC682" s="43"/>
      <x:c r="AD682" s="43"/>
      <x:c r="AE682" s="43"/>
      <x:c r="AF682" s="43"/>
      <x:c r="AG682" s="67"/>
      <x:c r="AH682" s="43"/>
      <x:c r="AI682" s="43"/>
    </x:row>
    <x:row r="683">
      <x:c r="A683" s="43"/>
      <x:c r="B683" s="43"/>
      <x:c r="C683" s="43"/>
      <x:c r="D683" s="43" t="str">
        <x:f>IF(C683="","",YEAR(C683))</x:f>
      </x:c>
      <x:c r="E683" s="43" t="str">
        <x:f>IF(C683="","",MONTH(C683))</x:f>
      </x:c>
      <x:c r="F683" s="43" t="str">
        <x:f>IF(C683="","",WEEKNUM(C683,21))</x:f>
      </x:c>
      <x:c r="G683" s="43" t="str">
        <x:f>IF(C683="","",CHOOSE(WEEKDAY(C683,2),"Lundi","Mardi","Mercredi","Jeudi","Vendredi","Samedi","Dimanche"))</x:f>
      </x:c>
      <x:c r="H683" s="43"/>
      <x:c r="I683" s="43"/>
      <x:c r="J683" s="43"/>
      <x:c r="K683" s="43"/>
      <x:c r="L683" s="43"/>
      <x:c r="M683" s="43"/>
      <x:c r="N683" s="43"/>
      <x:c r="O683" s="43"/>
      <x:c r="P683" s="43"/>
      <x:c r="Q683" s="43"/>
      <x:c r="R683" s="43"/>
      <x:c r="S683" s="43"/>
      <x:c r="T683" s="43"/>
      <x:c r="U683" s="43"/>
      <x:c r="V683" s="43"/>
      <x:c r="W683" s="43"/>
      <x:c r="X683" s="43"/>
      <x:c r="Y683" s="43"/>
      <x:c r="Z683" s="43"/>
      <x:c r="AA683" s="43"/>
      <x:c r="AB683" s="43"/>
      <x:c r="AC683" s="43"/>
      <x:c r="AD683" s="43"/>
      <x:c r="AE683" s="43"/>
      <x:c r="AF683" s="43"/>
      <x:c r="AG683" s="67"/>
      <x:c r="AH683" s="43"/>
      <x:c r="AI683" s="43"/>
    </x:row>
    <x:row r="684">
      <x:c r="A684" s="43"/>
      <x:c r="B684" s="43"/>
      <x:c r="C684" s="43"/>
      <x:c r="D684" s="43" t="str">
        <x:f>IF(C684="","",YEAR(C684))</x:f>
      </x:c>
      <x:c r="E684" s="43" t="str">
        <x:f>IF(C684="","",MONTH(C684))</x:f>
      </x:c>
      <x:c r="F684" s="43" t="str">
        <x:f>IF(C684="","",WEEKNUM(C684,21))</x:f>
      </x:c>
      <x:c r="G684" s="43" t="str">
        <x:f>IF(C684="","",CHOOSE(WEEKDAY(C684,2),"Lundi","Mardi","Mercredi","Jeudi","Vendredi","Samedi","Dimanche"))</x:f>
      </x:c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  <x:c r="AA684" s="43"/>
      <x:c r="AB684" s="43"/>
      <x:c r="AC684" s="43"/>
      <x:c r="AD684" s="43"/>
      <x:c r="AE684" s="43"/>
      <x:c r="AF684" s="43"/>
      <x:c r="AG684" s="67"/>
      <x:c r="AH684" s="43"/>
      <x:c r="AI684" s="43"/>
    </x:row>
    <x:row r="685">
      <x:c r="A685" s="43"/>
      <x:c r="B685" s="43"/>
      <x:c r="C685" s="43"/>
      <x:c r="D685" s="43" t="str">
        <x:f>IF(C685="","",YEAR(C685))</x:f>
      </x:c>
      <x:c r="E685" s="43" t="str">
        <x:f>IF(C685="","",MONTH(C685))</x:f>
      </x:c>
      <x:c r="F685" s="43" t="str">
        <x:f>IF(C685="","",WEEKNUM(C685,21))</x:f>
      </x:c>
      <x:c r="G685" s="43" t="str">
        <x:f>IF(C685="","",CHOOSE(WEEKDAY(C685,2),"Lundi","Mardi","Mercredi","Jeudi","Vendredi","Samedi","Dimanche"))</x:f>
      </x:c>
      <x:c r="H685" s="43"/>
      <x:c r="I685" s="43"/>
      <x:c r="J685" s="43"/>
      <x:c r="K685" s="43"/>
      <x:c r="L685" s="43"/>
      <x:c r="M685" s="43"/>
      <x:c r="N685" s="43"/>
      <x:c r="O685" s="43"/>
      <x:c r="P685" s="43"/>
      <x:c r="Q685" s="43"/>
      <x:c r="R685" s="43"/>
      <x:c r="S685" s="43"/>
      <x:c r="T685" s="43"/>
      <x:c r="U685" s="43"/>
      <x:c r="V685" s="43"/>
      <x:c r="W685" s="43"/>
      <x:c r="X685" s="43"/>
      <x:c r="Y685" s="43"/>
      <x:c r="Z685" s="43"/>
      <x:c r="AA685" s="43"/>
      <x:c r="AB685" s="43"/>
      <x:c r="AC685" s="43"/>
      <x:c r="AD685" s="43"/>
      <x:c r="AE685" s="43"/>
      <x:c r="AF685" s="43"/>
      <x:c r="AG685" s="67"/>
      <x:c r="AH685" s="43"/>
      <x:c r="AI685" s="43"/>
    </x:row>
    <x:row r="686">
      <x:c r="A686" s="43"/>
      <x:c r="B686" s="43"/>
      <x:c r="C686" s="43"/>
      <x:c r="D686" s="43" t="str">
        <x:f>IF(C686="","",YEAR(C686))</x:f>
      </x:c>
      <x:c r="E686" s="43" t="str">
        <x:f>IF(C686="","",MONTH(C686))</x:f>
      </x:c>
      <x:c r="F686" s="43" t="str">
        <x:f>IF(C686="","",WEEKNUM(C686,21))</x:f>
      </x:c>
      <x:c r="G686" s="43" t="str">
        <x:f>IF(C686="","",CHOOSE(WEEKDAY(C686,2),"Lundi","Mardi","Mercredi","Jeudi","Vendredi","Samedi","Dimanche"))</x:f>
      </x:c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  <x:c r="AA686" s="43"/>
      <x:c r="AB686" s="43"/>
      <x:c r="AC686" s="43"/>
      <x:c r="AD686" s="43"/>
      <x:c r="AE686" s="43"/>
      <x:c r="AF686" s="43"/>
      <x:c r="AG686" s="67"/>
      <x:c r="AH686" s="43"/>
      <x:c r="AI686" s="43"/>
    </x:row>
    <x:row r="687">
      <x:c r="A687" s="43"/>
      <x:c r="B687" s="43"/>
      <x:c r="C687" s="43"/>
      <x:c r="D687" s="43" t="str">
        <x:f>IF(C687="","",YEAR(C687))</x:f>
      </x:c>
      <x:c r="E687" s="43" t="str">
        <x:f>IF(C687="","",MONTH(C687))</x:f>
      </x:c>
      <x:c r="F687" s="43" t="str">
        <x:f>IF(C687="","",WEEKNUM(C687,21))</x:f>
      </x:c>
      <x:c r="G687" s="43" t="str">
        <x:f>IF(C687="","",CHOOSE(WEEKDAY(C687,2),"Lundi","Mardi","Mercredi","Jeudi","Vendredi","Samedi","Dimanche"))</x:f>
      </x:c>
      <x:c r="H687" s="43"/>
      <x:c r="I687" s="43"/>
      <x:c r="J687" s="43"/>
      <x:c r="K687" s="43"/>
      <x:c r="L687" s="43"/>
      <x:c r="M687" s="43"/>
      <x:c r="N687" s="43"/>
      <x:c r="O687" s="43"/>
      <x:c r="P687" s="43"/>
      <x:c r="Q687" s="43"/>
      <x:c r="R687" s="43"/>
      <x:c r="S687" s="43"/>
      <x:c r="T687" s="43"/>
      <x:c r="U687" s="43"/>
      <x:c r="V687" s="43"/>
      <x:c r="W687" s="43"/>
      <x:c r="X687" s="43"/>
      <x:c r="Y687" s="43"/>
      <x:c r="Z687" s="43"/>
      <x:c r="AA687" s="43"/>
      <x:c r="AB687" s="43"/>
      <x:c r="AC687" s="43"/>
      <x:c r="AD687" s="43"/>
      <x:c r="AE687" s="43"/>
      <x:c r="AF687" s="43"/>
      <x:c r="AG687" s="67"/>
      <x:c r="AH687" s="43"/>
      <x:c r="AI687" s="43"/>
    </x:row>
    <x:row r="688">
      <x:c r="A688" s="43"/>
      <x:c r="B688" s="43"/>
      <x:c r="C688" s="43"/>
      <x:c r="D688" s="43" t="str">
        <x:f>IF(C688="","",YEAR(C688))</x:f>
      </x:c>
      <x:c r="E688" s="43" t="str">
        <x:f>IF(C688="","",MONTH(C688))</x:f>
      </x:c>
      <x:c r="F688" s="43" t="str">
        <x:f>IF(C688="","",WEEKNUM(C688,21))</x:f>
      </x:c>
      <x:c r="G688" s="43" t="str">
        <x:f>IF(C688="","",CHOOSE(WEEKDAY(C688,2),"Lundi","Mardi","Mercredi","Jeudi","Vendredi","Samedi","Dimanche"))</x:f>
      </x:c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  <x:c r="AA688" s="43"/>
      <x:c r="AB688" s="43"/>
      <x:c r="AC688" s="43"/>
      <x:c r="AD688" s="43"/>
      <x:c r="AE688" s="43"/>
      <x:c r="AF688" s="43"/>
      <x:c r="AG688" s="67"/>
      <x:c r="AH688" s="43"/>
      <x:c r="AI688" s="43"/>
    </x:row>
    <x:row r="689">
      <x:c r="A689" s="43"/>
      <x:c r="B689" s="43"/>
      <x:c r="C689" s="43"/>
      <x:c r="D689" s="43" t="str">
        <x:f>IF(C689="","",YEAR(C689))</x:f>
      </x:c>
      <x:c r="E689" s="43" t="str">
        <x:f>IF(C689="","",MONTH(C689))</x:f>
      </x:c>
      <x:c r="F689" s="43" t="str">
        <x:f>IF(C689="","",WEEKNUM(C689,21))</x:f>
      </x:c>
      <x:c r="G689" s="43" t="str">
        <x:f>IF(C689="","",CHOOSE(WEEKDAY(C689,2),"Lundi","Mardi","Mercredi","Jeudi","Vendredi","Samedi","Dimanche"))</x:f>
      </x:c>
      <x:c r="H689" s="43"/>
      <x:c r="I689" s="43"/>
      <x:c r="J689" s="43"/>
      <x:c r="K689" s="43"/>
      <x:c r="L689" s="43"/>
      <x:c r="M689" s="43"/>
      <x:c r="N689" s="43"/>
      <x:c r="O689" s="43"/>
      <x:c r="P689" s="43"/>
      <x:c r="Q689" s="43"/>
      <x:c r="R689" s="43"/>
      <x:c r="S689" s="43"/>
      <x:c r="T689" s="43"/>
      <x:c r="U689" s="43"/>
      <x:c r="V689" s="43"/>
      <x:c r="W689" s="43"/>
      <x:c r="X689" s="43"/>
      <x:c r="Y689" s="43"/>
      <x:c r="Z689" s="43"/>
      <x:c r="AA689" s="43"/>
      <x:c r="AB689" s="43"/>
      <x:c r="AC689" s="43"/>
      <x:c r="AD689" s="43"/>
      <x:c r="AE689" s="43"/>
      <x:c r="AF689" s="43"/>
      <x:c r="AG689" s="67"/>
      <x:c r="AH689" s="43"/>
      <x:c r="AI689" s="43"/>
    </x:row>
    <x:row r="690">
      <x:c r="A690" s="43"/>
      <x:c r="B690" s="43"/>
      <x:c r="C690" s="43"/>
      <x:c r="D690" s="43" t="str">
        <x:f>IF(C690="","",YEAR(C690))</x:f>
      </x:c>
      <x:c r="E690" s="43" t="str">
        <x:f>IF(C690="","",MONTH(C690))</x:f>
      </x:c>
      <x:c r="F690" s="43" t="str">
        <x:f>IF(C690="","",WEEKNUM(C690,21))</x:f>
      </x:c>
      <x:c r="G690" s="43" t="str">
        <x:f>IF(C690="","",CHOOSE(WEEKDAY(C690,2),"Lundi","Mardi","Mercredi","Jeudi","Vendredi","Samedi","Dimanche"))</x:f>
      </x:c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  <x:c r="AA690" s="43"/>
      <x:c r="AB690" s="43"/>
      <x:c r="AC690" s="43"/>
      <x:c r="AD690" s="43"/>
      <x:c r="AE690" s="43"/>
      <x:c r="AF690" s="43"/>
      <x:c r="AG690" s="67"/>
      <x:c r="AH690" s="43"/>
      <x:c r="AI690" s="43"/>
    </x:row>
    <x:row r="691">
      <x:c r="A691" s="43"/>
      <x:c r="B691" s="43"/>
      <x:c r="C691" s="43"/>
      <x:c r="D691" s="43" t="str">
        <x:f>IF(C691="","",YEAR(C691))</x:f>
      </x:c>
      <x:c r="E691" s="43" t="str">
        <x:f>IF(C691="","",MONTH(C691))</x:f>
      </x:c>
      <x:c r="F691" s="43" t="str">
        <x:f>IF(C691="","",WEEKNUM(C691,21))</x:f>
      </x:c>
      <x:c r="G691" s="43" t="str">
        <x:f>IF(C691="","",CHOOSE(WEEKDAY(C691,2),"Lundi","Mardi","Mercredi","Jeudi","Vendredi","Samedi","Dimanche"))</x:f>
      </x:c>
      <x:c r="H691" s="43"/>
      <x:c r="I691" s="43"/>
      <x:c r="J691" s="43"/>
      <x:c r="K691" s="43"/>
      <x:c r="L691" s="43"/>
      <x:c r="M691" s="43"/>
      <x:c r="N691" s="43"/>
      <x:c r="O691" s="43"/>
      <x:c r="P691" s="43"/>
      <x:c r="Q691" s="43"/>
      <x:c r="R691" s="43"/>
      <x:c r="S691" s="43"/>
      <x:c r="T691" s="43"/>
      <x:c r="U691" s="43"/>
      <x:c r="V691" s="43"/>
      <x:c r="W691" s="43"/>
      <x:c r="X691" s="43"/>
      <x:c r="Y691" s="43"/>
      <x:c r="Z691" s="43"/>
      <x:c r="AA691" s="43"/>
      <x:c r="AB691" s="43"/>
      <x:c r="AC691" s="43"/>
      <x:c r="AD691" s="43"/>
      <x:c r="AE691" s="43"/>
      <x:c r="AF691" s="43"/>
      <x:c r="AG691" s="67"/>
      <x:c r="AH691" s="43"/>
      <x:c r="AI691" s="43"/>
    </x:row>
    <x:row r="692">
      <x:c r="A692" s="43"/>
      <x:c r="B692" s="43"/>
      <x:c r="C692" s="43"/>
      <x:c r="D692" s="43" t="str">
        <x:f>IF(C692="","",YEAR(C692))</x:f>
      </x:c>
      <x:c r="E692" s="43" t="str">
        <x:f>IF(C692="","",MONTH(C692))</x:f>
      </x:c>
      <x:c r="F692" s="43" t="str">
        <x:f>IF(C692="","",WEEKNUM(C692,21))</x:f>
      </x:c>
      <x:c r="G692" s="43" t="str">
        <x:f>IF(C692="","",CHOOSE(WEEKDAY(C692,2),"Lundi","Mardi","Mercredi","Jeudi","Vendredi","Samedi","Dimanche"))</x:f>
      </x:c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  <x:c r="AA692" s="43"/>
      <x:c r="AB692" s="43"/>
      <x:c r="AC692" s="43"/>
      <x:c r="AD692" s="43"/>
      <x:c r="AE692" s="43"/>
      <x:c r="AF692" s="43"/>
      <x:c r="AG692" s="67"/>
      <x:c r="AH692" s="43"/>
      <x:c r="AI692" s="43"/>
    </x:row>
    <x:row r="693">
      <x:c r="A693" s="43"/>
      <x:c r="B693" s="43"/>
      <x:c r="C693" s="43"/>
      <x:c r="D693" s="43" t="str">
        <x:f>IF(C693="","",YEAR(C693))</x:f>
      </x:c>
      <x:c r="E693" s="43" t="str">
        <x:f>IF(C693="","",MONTH(C693))</x:f>
      </x:c>
      <x:c r="F693" s="43" t="str">
        <x:f>IF(C693="","",WEEKNUM(C693,21))</x:f>
      </x:c>
      <x:c r="G693" s="43" t="str">
        <x:f>IF(C693="","",CHOOSE(WEEKDAY(C693,2),"Lundi","Mardi","Mercredi","Jeudi","Vendredi","Samedi","Dimanche"))</x:f>
      </x:c>
      <x:c r="H693" s="43"/>
      <x:c r="I693" s="43"/>
      <x:c r="J693" s="43"/>
      <x:c r="K693" s="43"/>
      <x:c r="L693" s="43"/>
      <x:c r="M693" s="43"/>
      <x:c r="N693" s="43"/>
      <x:c r="O693" s="43"/>
      <x:c r="P693" s="43"/>
      <x:c r="Q693" s="43"/>
      <x:c r="R693" s="43"/>
      <x:c r="S693" s="43"/>
      <x:c r="T693" s="43"/>
      <x:c r="U693" s="43"/>
      <x:c r="V693" s="43"/>
      <x:c r="W693" s="43"/>
      <x:c r="X693" s="43"/>
      <x:c r="Y693" s="43"/>
      <x:c r="Z693" s="43"/>
      <x:c r="AA693" s="43"/>
      <x:c r="AB693" s="43"/>
      <x:c r="AC693" s="43"/>
      <x:c r="AD693" s="43"/>
      <x:c r="AE693" s="43"/>
      <x:c r="AF693" s="43"/>
      <x:c r="AG693" s="67"/>
      <x:c r="AH693" s="43"/>
      <x:c r="AI693" s="43"/>
    </x:row>
    <x:row r="694">
      <x:c r="A694" s="43"/>
      <x:c r="B694" s="43"/>
      <x:c r="C694" s="43"/>
      <x:c r="D694" s="43" t="str">
        <x:f>IF(C694="","",YEAR(C694))</x:f>
      </x:c>
      <x:c r="E694" s="43" t="str">
        <x:f>IF(C694="","",MONTH(C694))</x:f>
      </x:c>
      <x:c r="F694" s="43" t="str">
        <x:f>IF(C694="","",WEEKNUM(C694,21))</x:f>
      </x:c>
      <x:c r="G694" s="43" t="str">
        <x:f>IF(C694="","",CHOOSE(WEEKDAY(C694,2),"Lundi","Mardi","Mercredi","Jeudi","Vendredi","Samedi","Dimanche"))</x:f>
      </x:c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  <x:c r="AA694" s="43"/>
      <x:c r="AB694" s="43"/>
      <x:c r="AC694" s="43"/>
      <x:c r="AD694" s="43"/>
      <x:c r="AE694" s="43"/>
      <x:c r="AF694" s="43"/>
      <x:c r="AG694" s="67"/>
      <x:c r="AH694" s="43"/>
      <x:c r="AI694" s="43"/>
    </x:row>
    <x:row r="695">
      <x:c r="A695" s="43"/>
      <x:c r="B695" s="43"/>
      <x:c r="C695" s="43"/>
      <x:c r="D695" s="43" t="str">
        <x:f>IF(C695="","",YEAR(C695))</x:f>
      </x:c>
      <x:c r="E695" s="43" t="str">
        <x:f>IF(C695="","",MONTH(C695))</x:f>
      </x:c>
      <x:c r="F695" s="43" t="str">
        <x:f>IF(C695="","",WEEKNUM(C695,21))</x:f>
      </x:c>
      <x:c r="G695" s="43" t="str">
        <x:f>IF(C695="","",CHOOSE(WEEKDAY(C695,2),"Lundi","Mardi","Mercredi","Jeudi","Vendredi","Samedi","Dimanche"))</x:f>
      </x:c>
      <x:c r="H695" s="43"/>
      <x:c r="I695" s="43"/>
      <x:c r="J695" s="43"/>
      <x:c r="K695" s="43"/>
      <x:c r="L695" s="43"/>
      <x:c r="M695" s="43"/>
      <x:c r="N695" s="43"/>
      <x:c r="O695" s="43"/>
      <x:c r="P695" s="43"/>
      <x:c r="Q695" s="43"/>
      <x:c r="R695" s="43"/>
      <x:c r="S695" s="43"/>
      <x:c r="T695" s="43"/>
      <x:c r="U695" s="43"/>
      <x:c r="V695" s="43"/>
      <x:c r="W695" s="43"/>
      <x:c r="X695" s="43"/>
      <x:c r="Y695" s="43"/>
      <x:c r="Z695" s="43"/>
      <x:c r="AA695" s="43"/>
      <x:c r="AB695" s="43"/>
      <x:c r="AC695" s="43"/>
      <x:c r="AD695" s="43"/>
      <x:c r="AE695" s="43"/>
      <x:c r="AF695" s="43"/>
      <x:c r="AG695" s="67"/>
      <x:c r="AH695" s="43"/>
      <x:c r="AI695" s="43"/>
    </x:row>
    <x:row r="696">
      <x:c r="A696" s="43"/>
      <x:c r="B696" s="43"/>
      <x:c r="C696" s="43"/>
      <x:c r="D696" s="43" t="str">
        <x:f>IF(C696="","",YEAR(C696))</x:f>
      </x:c>
      <x:c r="E696" s="43" t="str">
        <x:f>IF(C696="","",MONTH(C696))</x:f>
      </x:c>
      <x:c r="F696" s="43" t="str">
        <x:f>IF(C696="","",WEEKNUM(C696,21))</x:f>
      </x:c>
      <x:c r="G696" s="43" t="str">
        <x:f>IF(C696="","",CHOOSE(WEEKDAY(C696,2),"Lundi","Mardi","Mercredi","Jeudi","Vendredi","Samedi","Dimanche"))</x:f>
      </x:c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  <x:c r="AA696" s="43"/>
      <x:c r="AB696" s="43"/>
      <x:c r="AC696" s="43"/>
      <x:c r="AD696" s="43"/>
      <x:c r="AE696" s="43"/>
      <x:c r="AF696" s="43"/>
      <x:c r="AG696" s="67"/>
      <x:c r="AH696" s="43"/>
      <x:c r="AI696" s="43"/>
    </x:row>
    <x:row r="697">
      <x:c r="A697" s="43"/>
      <x:c r="B697" s="43"/>
      <x:c r="C697" s="43"/>
      <x:c r="D697" s="43" t="str">
        <x:f>IF(C697="","",YEAR(C697))</x:f>
      </x:c>
      <x:c r="E697" s="43" t="str">
        <x:f>IF(C697="","",MONTH(C697))</x:f>
      </x:c>
      <x:c r="F697" s="43" t="str">
        <x:f>IF(C697="","",WEEKNUM(C697,21))</x:f>
      </x:c>
      <x:c r="G697" s="43" t="str">
        <x:f>IF(C697="","",CHOOSE(WEEKDAY(C697,2),"Lundi","Mardi","Mercredi","Jeudi","Vendredi","Samedi","Dimanche"))</x:f>
      </x:c>
      <x:c r="H697" s="43"/>
      <x:c r="I697" s="43"/>
      <x:c r="J697" s="43"/>
      <x:c r="K697" s="43"/>
      <x:c r="L697" s="43"/>
      <x:c r="M697" s="43"/>
      <x:c r="N697" s="43"/>
      <x:c r="O697" s="43"/>
      <x:c r="P697" s="43"/>
      <x:c r="Q697" s="43"/>
      <x:c r="R697" s="43"/>
      <x:c r="S697" s="43"/>
      <x:c r="T697" s="43"/>
      <x:c r="U697" s="43"/>
      <x:c r="V697" s="43"/>
      <x:c r="W697" s="43"/>
      <x:c r="X697" s="43"/>
      <x:c r="Y697" s="43"/>
      <x:c r="Z697" s="43"/>
      <x:c r="AA697" s="43"/>
      <x:c r="AB697" s="43"/>
      <x:c r="AC697" s="43"/>
      <x:c r="AD697" s="43"/>
      <x:c r="AE697" s="43"/>
      <x:c r="AF697" s="43"/>
      <x:c r="AG697" s="67"/>
      <x:c r="AH697" s="43"/>
      <x:c r="AI697" s="43"/>
    </x:row>
    <x:row r="698">
      <x:c r="A698" s="43"/>
      <x:c r="B698" s="43"/>
      <x:c r="C698" s="43"/>
      <x:c r="D698" s="43" t="str">
        <x:f>IF(C698="","",YEAR(C698))</x:f>
      </x:c>
      <x:c r="E698" s="43" t="str">
        <x:f>IF(C698="","",MONTH(C698))</x:f>
      </x:c>
      <x:c r="F698" s="43" t="str">
        <x:f>IF(C698="","",WEEKNUM(C698,21))</x:f>
      </x:c>
      <x:c r="G698" s="43" t="str">
        <x:f>IF(C698="","",CHOOSE(WEEKDAY(C698,2),"Lundi","Mardi","Mercredi","Jeudi","Vendredi","Samedi","Dimanche"))</x:f>
      </x:c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  <x:c r="AA698" s="43"/>
      <x:c r="AB698" s="43"/>
      <x:c r="AC698" s="43"/>
      <x:c r="AD698" s="43"/>
      <x:c r="AE698" s="43"/>
      <x:c r="AF698" s="43"/>
      <x:c r="AG698" s="67"/>
      <x:c r="AH698" s="43"/>
      <x:c r="AI698" s="43"/>
    </x:row>
    <x:row r="699">
      <x:c r="A699" s="43"/>
      <x:c r="B699" s="43"/>
      <x:c r="C699" s="43"/>
      <x:c r="D699" s="43" t="str">
        <x:f>IF(C699="","",YEAR(C699))</x:f>
      </x:c>
      <x:c r="E699" s="43" t="str">
        <x:f>IF(C699="","",MONTH(C699))</x:f>
      </x:c>
      <x:c r="F699" s="43" t="str">
        <x:f>IF(C699="","",WEEKNUM(C699,21))</x:f>
      </x:c>
      <x:c r="G699" s="43" t="str">
        <x:f>IF(C699="","",CHOOSE(WEEKDAY(C699,2),"Lundi","Mardi","Mercredi","Jeudi","Vendredi","Samedi","Dimanche"))</x:f>
      </x:c>
      <x:c r="H699" s="43"/>
      <x:c r="I699" s="43"/>
      <x:c r="J699" s="43"/>
      <x:c r="K699" s="43"/>
      <x:c r="L699" s="43"/>
      <x:c r="M699" s="43"/>
      <x:c r="N699" s="43"/>
      <x:c r="O699" s="43"/>
      <x:c r="P699" s="43"/>
      <x:c r="Q699" s="43"/>
      <x:c r="R699" s="43"/>
      <x:c r="S699" s="43"/>
      <x:c r="T699" s="43"/>
      <x:c r="U699" s="43"/>
      <x:c r="V699" s="43"/>
      <x:c r="W699" s="43"/>
      <x:c r="X699" s="43"/>
      <x:c r="Y699" s="43"/>
      <x:c r="Z699" s="43"/>
      <x:c r="AA699" s="43"/>
      <x:c r="AB699" s="43"/>
      <x:c r="AC699" s="43"/>
      <x:c r="AD699" s="43"/>
      <x:c r="AE699" s="43"/>
      <x:c r="AF699" s="43"/>
      <x:c r="AG699" s="67"/>
      <x:c r="AH699" s="43"/>
      <x:c r="AI699" s="43"/>
    </x:row>
    <x:row r="700">
      <x:c r="A700" s="43"/>
      <x:c r="B700" s="43"/>
      <x:c r="C700" s="43"/>
      <x:c r="D700" s="43" t="str">
        <x:f>IF(C700="","",YEAR(C700))</x:f>
      </x:c>
      <x:c r="E700" s="43" t="str">
        <x:f>IF(C700="","",MONTH(C700))</x:f>
      </x:c>
      <x:c r="F700" s="43" t="str">
        <x:f>IF(C700="","",WEEKNUM(C700,21))</x:f>
      </x:c>
      <x:c r="G700" s="43" t="str">
        <x:f>IF(C700="","",CHOOSE(WEEKDAY(C700,2),"Lundi","Mardi","Mercredi","Jeudi","Vendredi","Samedi","Dimanche"))</x:f>
      </x:c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  <x:c r="AA700" s="43"/>
      <x:c r="AB700" s="43"/>
      <x:c r="AC700" s="43"/>
      <x:c r="AD700" s="43"/>
      <x:c r="AE700" s="43"/>
      <x:c r="AF700" s="43"/>
      <x:c r="AG700" s="67"/>
      <x:c r="AH700" s="43"/>
      <x:c r="AI700" s="43"/>
    </x:row>
    <x:row r="701">
      <x:c r="A701" s="43"/>
      <x:c r="B701" s="43"/>
      <x:c r="C701" s="43"/>
      <x:c r="D701" s="43" t="str">
        <x:f>IF(C701="","",YEAR(C701))</x:f>
      </x:c>
      <x:c r="E701" s="43" t="str">
        <x:f>IF(C701="","",MONTH(C701))</x:f>
      </x:c>
      <x:c r="F701" s="43" t="str">
        <x:f>IF(C701="","",WEEKNUM(C701,21))</x:f>
      </x:c>
      <x:c r="G701" s="43" t="str">
        <x:f>IF(C701="","",CHOOSE(WEEKDAY(C701,2),"Lundi","Mardi","Mercredi","Jeudi","Vendredi","Samedi","Dimanche"))</x:f>
      </x:c>
      <x:c r="H701" s="43"/>
      <x:c r="I701" s="43"/>
      <x:c r="J701" s="43"/>
      <x:c r="K701" s="43"/>
      <x:c r="L701" s="43"/>
      <x:c r="M701" s="43"/>
      <x:c r="N701" s="43"/>
      <x:c r="O701" s="43"/>
      <x:c r="P701" s="43"/>
      <x:c r="Q701" s="43"/>
      <x:c r="R701" s="43"/>
      <x:c r="S701" s="43"/>
      <x:c r="T701" s="43"/>
      <x:c r="U701" s="43"/>
      <x:c r="V701" s="43"/>
      <x:c r="W701" s="43"/>
      <x:c r="X701" s="43"/>
      <x:c r="Y701" s="43"/>
      <x:c r="Z701" s="43"/>
      <x:c r="AA701" s="43"/>
      <x:c r="AB701" s="43"/>
      <x:c r="AC701" s="43"/>
      <x:c r="AD701" s="43"/>
      <x:c r="AE701" s="43"/>
      <x:c r="AF701" s="43"/>
      <x:c r="AG701" s="67"/>
      <x:c r="AH701" s="43"/>
      <x:c r="AI701" s="43"/>
    </x:row>
    <x:row r="702">
      <x:c r="A702" s="43"/>
      <x:c r="B702" s="43"/>
      <x:c r="C702" s="43"/>
      <x:c r="D702" s="43" t="str">
        <x:f>IF(C702="","",YEAR(C702))</x:f>
      </x:c>
      <x:c r="E702" s="43" t="str">
        <x:f>IF(C702="","",MONTH(C702))</x:f>
      </x:c>
      <x:c r="F702" s="43" t="str">
        <x:f>IF(C702="","",WEEKNUM(C702,21))</x:f>
      </x:c>
      <x:c r="G702" s="43" t="str">
        <x:f>IF(C702="","",CHOOSE(WEEKDAY(C702,2),"Lundi","Mardi","Mercredi","Jeudi","Vendredi","Samedi","Dimanche"))</x:f>
      </x:c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  <x:c r="AA702" s="43"/>
      <x:c r="AB702" s="43"/>
      <x:c r="AC702" s="43"/>
      <x:c r="AD702" s="43"/>
      <x:c r="AE702" s="43"/>
      <x:c r="AF702" s="43"/>
      <x:c r="AG702" s="67"/>
      <x:c r="AH702" s="43"/>
      <x:c r="AI702" s="43"/>
    </x:row>
    <x:row r="703">
      <x:c r="A703" s="43"/>
      <x:c r="B703" s="43"/>
      <x:c r="C703" s="43"/>
      <x:c r="D703" s="43" t="str">
        <x:f>IF(C703="","",YEAR(C703))</x:f>
      </x:c>
      <x:c r="E703" s="43" t="str">
        <x:f>IF(C703="","",MONTH(C703))</x:f>
      </x:c>
      <x:c r="F703" s="43" t="str">
        <x:f>IF(C703="","",WEEKNUM(C703,21))</x:f>
      </x:c>
      <x:c r="G703" s="43" t="str">
        <x:f>IF(C703="","",CHOOSE(WEEKDAY(C703,2),"Lundi","Mardi","Mercredi","Jeudi","Vendredi","Samedi","Dimanche"))</x:f>
      </x:c>
      <x:c r="H703" s="43"/>
      <x:c r="I703" s="43"/>
      <x:c r="J703" s="43"/>
      <x:c r="K703" s="43"/>
      <x:c r="L703" s="43"/>
      <x:c r="M703" s="43"/>
      <x:c r="N703" s="43"/>
      <x:c r="O703" s="43"/>
      <x:c r="P703" s="43"/>
      <x:c r="Q703" s="43"/>
      <x:c r="R703" s="43"/>
      <x:c r="S703" s="43"/>
      <x:c r="T703" s="43"/>
      <x:c r="U703" s="43"/>
      <x:c r="V703" s="43"/>
      <x:c r="W703" s="43"/>
      <x:c r="X703" s="43"/>
      <x:c r="Y703" s="43"/>
      <x:c r="Z703" s="43"/>
      <x:c r="AA703" s="43"/>
      <x:c r="AB703" s="43"/>
      <x:c r="AC703" s="43"/>
      <x:c r="AD703" s="43"/>
      <x:c r="AE703" s="43"/>
      <x:c r="AF703" s="43"/>
      <x:c r="AG703" s="67"/>
      <x:c r="AH703" s="43"/>
      <x:c r="AI703" s="43"/>
    </x:row>
    <x:row r="704">
      <x:c r="A704" s="43"/>
      <x:c r="B704" s="43"/>
      <x:c r="C704" s="43"/>
      <x:c r="D704" s="43" t="str">
        <x:f>IF(C704="","",YEAR(C704))</x:f>
      </x:c>
      <x:c r="E704" s="43" t="str">
        <x:f>IF(C704="","",MONTH(C704))</x:f>
      </x:c>
      <x:c r="F704" s="43" t="str">
        <x:f>IF(C704="","",WEEKNUM(C704,21))</x:f>
      </x:c>
      <x:c r="G704" s="43" t="str">
        <x:f>IF(C704="","",CHOOSE(WEEKDAY(C704,2),"Lundi","Mardi","Mercredi","Jeudi","Vendredi","Samedi","Dimanche"))</x:f>
      </x:c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  <x:c r="AA704" s="43"/>
      <x:c r="AB704" s="43"/>
      <x:c r="AC704" s="43"/>
      <x:c r="AD704" s="43"/>
      <x:c r="AE704" s="43"/>
      <x:c r="AF704" s="43"/>
      <x:c r="AG704" s="67"/>
      <x:c r="AH704" s="43"/>
      <x:c r="AI704" s="43"/>
    </x:row>
    <x:row r="705">
      <x:c r="A705" s="43"/>
      <x:c r="B705" s="43"/>
      <x:c r="C705" s="43"/>
      <x:c r="D705" s="43" t="str">
        <x:f>IF(C705="","",YEAR(C705))</x:f>
      </x:c>
      <x:c r="E705" s="43" t="str">
        <x:f>IF(C705="","",MONTH(C705))</x:f>
      </x:c>
      <x:c r="F705" s="43" t="str">
        <x:f>IF(C705="","",WEEKNUM(C705,21))</x:f>
      </x:c>
      <x:c r="G705" s="43" t="str">
        <x:f>IF(C705="","",CHOOSE(WEEKDAY(C705,2),"Lundi","Mardi","Mercredi","Jeudi","Vendredi","Samedi","Dimanche"))</x:f>
      </x:c>
      <x:c r="H705" s="43"/>
      <x:c r="I705" s="43"/>
      <x:c r="J705" s="43"/>
      <x:c r="K705" s="43"/>
      <x:c r="L705" s="43"/>
      <x:c r="M705" s="43"/>
      <x:c r="N705" s="43"/>
      <x:c r="O705" s="43"/>
      <x:c r="P705" s="43"/>
      <x:c r="Q705" s="43"/>
      <x:c r="R705" s="43"/>
      <x:c r="S705" s="43"/>
      <x:c r="T705" s="43"/>
      <x:c r="U705" s="43"/>
      <x:c r="V705" s="43"/>
      <x:c r="W705" s="43"/>
      <x:c r="X705" s="43"/>
      <x:c r="Y705" s="43"/>
      <x:c r="Z705" s="43"/>
      <x:c r="AA705" s="43"/>
      <x:c r="AB705" s="43"/>
      <x:c r="AC705" s="43"/>
      <x:c r="AD705" s="43"/>
      <x:c r="AE705" s="43"/>
      <x:c r="AF705" s="43"/>
      <x:c r="AG705" s="67"/>
      <x:c r="AH705" s="43"/>
      <x:c r="AI705" s="43"/>
    </x:row>
    <x:row r="706">
      <x:c r="A706" s="43"/>
      <x:c r="B706" s="43"/>
      <x:c r="C706" s="43"/>
      <x:c r="D706" s="43" t="str">
        <x:f>IF(C706="","",YEAR(C706))</x:f>
      </x:c>
      <x:c r="E706" s="43" t="str">
        <x:f>IF(C706="","",MONTH(C706))</x:f>
      </x:c>
      <x:c r="F706" s="43" t="str">
        <x:f>IF(C706="","",WEEKNUM(C706,21))</x:f>
      </x:c>
      <x:c r="G706" s="43" t="str">
        <x:f>IF(C706="","",CHOOSE(WEEKDAY(C706,2),"Lundi","Mardi","Mercredi","Jeudi","Vendredi","Samedi","Dimanche"))</x:f>
      </x:c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  <x:c r="AA706" s="43"/>
      <x:c r="AB706" s="43"/>
      <x:c r="AC706" s="43"/>
      <x:c r="AD706" s="43"/>
      <x:c r="AE706" s="43"/>
      <x:c r="AF706" s="43"/>
      <x:c r="AG706" s="67"/>
      <x:c r="AH706" s="43"/>
      <x:c r="AI706" s="43"/>
    </x:row>
    <x:row r="707">
      <x:c r="A707" s="43"/>
      <x:c r="B707" s="43"/>
      <x:c r="C707" s="43"/>
      <x:c r="D707" s="43" t="str">
        <x:f>IF(C707="","",YEAR(C707))</x:f>
      </x:c>
      <x:c r="E707" s="43" t="str">
        <x:f>IF(C707="","",MONTH(C707))</x:f>
      </x:c>
      <x:c r="F707" s="43" t="str">
        <x:f>IF(C707="","",WEEKNUM(C707,21))</x:f>
      </x:c>
      <x:c r="G707" s="43" t="str">
        <x:f>IF(C707="","",CHOOSE(WEEKDAY(C707,2),"Lundi","Mardi","Mercredi","Jeudi","Vendredi","Samedi","Dimanche"))</x:f>
      </x:c>
      <x:c r="H707" s="43"/>
      <x:c r="I707" s="43"/>
      <x:c r="J707" s="43"/>
      <x:c r="K707" s="43"/>
      <x:c r="L707" s="43"/>
      <x:c r="M707" s="43"/>
      <x:c r="N707" s="43"/>
      <x:c r="O707" s="43"/>
      <x:c r="P707" s="43"/>
      <x:c r="Q707" s="43"/>
      <x:c r="R707" s="43"/>
      <x:c r="S707" s="43"/>
      <x:c r="T707" s="43"/>
      <x:c r="U707" s="43"/>
      <x:c r="V707" s="43"/>
      <x:c r="W707" s="43"/>
      <x:c r="X707" s="43"/>
      <x:c r="Y707" s="43"/>
      <x:c r="Z707" s="43"/>
      <x:c r="AA707" s="43"/>
      <x:c r="AB707" s="43"/>
      <x:c r="AC707" s="43"/>
      <x:c r="AD707" s="43"/>
      <x:c r="AE707" s="43"/>
      <x:c r="AF707" s="43"/>
      <x:c r="AG707" s="67"/>
      <x:c r="AH707" s="43"/>
      <x:c r="AI707" s="43"/>
    </x:row>
    <x:row r="708">
      <x:c r="A708" s="43"/>
      <x:c r="B708" s="43"/>
      <x:c r="C708" s="43"/>
      <x:c r="D708" s="43" t="str">
        <x:f>IF(C708="","",YEAR(C708))</x:f>
      </x:c>
      <x:c r="E708" s="43" t="str">
        <x:f>IF(C708="","",MONTH(C708))</x:f>
      </x:c>
      <x:c r="F708" s="43" t="str">
        <x:f>IF(C708="","",WEEKNUM(C708,21))</x:f>
      </x:c>
      <x:c r="G708" s="43" t="str">
        <x:f>IF(C708="","",CHOOSE(WEEKDAY(C708,2),"Lundi","Mardi","Mercredi","Jeudi","Vendredi","Samedi","Dimanche"))</x:f>
      </x:c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  <x:c r="AA708" s="43"/>
      <x:c r="AB708" s="43"/>
      <x:c r="AC708" s="43"/>
      <x:c r="AD708" s="43"/>
      <x:c r="AE708" s="43"/>
      <x:c r="AF708" s="43"/>
      <x:c r="AG708" s="67"/>
      <x:c r="AH708" s="43"/>
      <x:c r="AI708" s="43"/>
    </x:row>
    <x:row r="709">
      <x:c r="A709" s="43"/>
      <x:c r="B709" s="43"/>
      <x:c r="C709" s="43"/>
      <x:c r="D709" s="43" t="str">
        <x:f>IF(C709="","",YEAR(C709))</x:f>
      </x:c>
      <x:c r="E709" s="43" t="str">
        <x:f>IF(C709="","",MONTH(C709))</x:f>
      </x:c>
      <x:c r="F709" s="43" t="str">
        <x:f>IF(C709="","",WEEKNUM(C709,21))</x:f>
      </x:c>
      <x:c r="G709" s="43" t="str">
        <x:f>IF(C709="","",CHOOSE(WEEKDAY(C709,2),"Lundi","Mardi","Mercredi","Jeudi","Vendredi","Samedi","Dimanche"))</x:f>
      </x:c>
      <x:c r="H709" s="43"/>
      <x:c r="I709" s="43"/>
      <x:c r="J709" s="43"/>
      <x:c r="K709" s="43"/>
      <x:c r="L709" s="43"/>
      <x:c r="M709" s="43"/>
      <x:c r="N709" s="43"/>
      <x:c r="O709" s="43"/>
      <x:c r="P709" s="43"/>
      <x:c r="Q709" s="43"/>
      <x:c r="R709" s="43"/>
      <x:c r="S709" s="43"/>
      <x:c r="T709" s="43"/>
      <x:c r="U709" s="43"/>
      <x:c r="V709" s="43"/>
      <x:c r="W709" s="43"/>
      <x:c r="X709" s="43"/>
      <x:c r="Y709" s="43"/>
      <x:c r="Z709" s="43"/>
      <x:c r="AA709" s="43"/>
      <x:c r="AB709" s="43"/>
      <x:c r="AC709" s="43"/>
      <x:c r="AD709" s="43"/>
      <x:c r="AE709" s="43"/>
      <x:c r="AF709" s="43"/>
      <x:c r="AG709" s="67"/>
      <x:c r="AH709" s="43"/>
      <x:c r="AI709" s="43"/>
    </x:row>
    <x:row r="710">
      <x:c r="A710" s="43"/>
      <x:c r="B710" s="43"/>
      <x:c r="C710" s="43"/>
      <x:c r="D710" s="43" t="str">
        <x:f>IF(C710="","",YEAR(C710))</x:f>
      </x:c>
      <x:c r="E710" s="43" t="str">
        <x:f>IF(C710="","",MONTH(C710))</x:f>
      </x:c>
      <x:c r="F710" s="43" t="str">
        <x:f>IF(C710="","",WEEKNUM(C710,21))</x:f>
      </x:c>
      <x:c r="G710" s="43" t="str">
        <x:f>IF(C710="","",CHOOSE(WEEKDAY(C710,2),"Lundi","Mardi","Mercredi","Jeudi","Vendredi","Samedi","Dimanche"))</x:f>
      </x:c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  <x:c r="AA710" s="43"/>
      <x:c r="AB710" s="43"/>
      <x:c r="AC710" s="43"/>
      <x:c r="AD710" s="43"/>
      <x:c r="AE710" s="43"/>
      <x:c r="AF710" s="43"/>
      <x:c r="AG710" s="67"/>
      <x:c r="AH710" s="43"/>
      <x:c r="AI710" s="43"/>
    </x:row>
    <x:row r="711">
      <x:c r="A711" s="43"/>
      <x:c r="B711" s="43"/>
      <x:c r="C711" s="43"/>
      <x:c r="D711" s="43" t="str">
        <x:f>IF(C711="","",YEAR(C711))</x:f>
      </x:c>
      <x:c r="E711" s="43" t="str">
        <x:f>IF(C711="","",MONTH(C711))</x:f>
      </x:c>
      <x:c r="F711" s="43" t="str">
        <x:f>IF(C711="","",WEEKNUM(C711,21))</x:f>
      </x:c>
      <x:c r="G711" s="43" t="str">
        <x:f>IF(C711="","",CHOOSE(WEEKDAY(C711,2),"Lundi","Mardi","Mercredi","Jeudi","Vendredi","Samedi","Dimanche"))</x:f>
      </x:c>
      <x:c r="H711" s="43"/>
      <x:c r="I711" s="43"/>
      <x:c r="J711" s="43"/>
      <x:c r="K711" s="43"/>
      <x:c r="L711" s="43"/>
      <x:c r="M711" s="43"/>
      <x:c r="N711" s="43"/>
      <x:c r="O711" s="43"/>
      <x:c r="P711" s="43"/>
      <x:c r="Q711" s="43"/>
      <x:c r="R711" s="43"/>
      <x:c r="S711" s="43"/>
      <x:c r="T711" s="43"/>
      <x:c r="U711" s="43"/>
      <x:c r="V711" s="43"/>
      <x:c r="W711" s="43"/>
      <x:c r="X711" s="43"/>
      <x:c r="Y711" s="43"/>
      <x:c r="Z711" s="43"/>
      <x:c r="AA711" s="43"/>
      <x:c r="AB711" s="43"/>
      <x:c r="AC711" s="43"/>
      <x:c r="AD711" s="43"/>
      <x:c r="AE711" s="43"/>
      <x:c r="AF711" s="43"/>
      <x:c r="AG711" s="67"/>
      <x:c r="AH711" s="43"/>
      <x:c r="AI711" s="43"/>
    </x:row>
    <x:row r="712">
      <x:c r="A712" s="43"/>
      <x:c r="B712" s="43"/>
      <x:c r="C712" s="43"/>
      <x:c r="D712" s="43" t="str">
        <x:f>IF(C712="","",YEAR(C712))</x:f>
      </x:c>
      <x:c r="E712" s="43" t="str">
        <x:f>IF(C712="","",MONTH(C712))</x:f>
      </x:c>
      <x:c r="F712" s="43" t="str">
        <x:f>IF(C712="","",WEEKNUM(C712,21))</x:f>
      </x:c>
      <x:c r="G712" s="43" t="str">
        <x:f>IF(C712="","",CHOOSE(WEEKDAY(C712,2),"Lundi","Mardi","Mercredi","Jeudi","Vendredi","Samedi","Dimanche"))</x:f>
      </x:c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  <x:c r="AA712" s="43"/>
      <x:c r="AB712" s="43"/>
      <x:c r="AC712" s="43"/>
      <x:c r="AD712" s="43"/>
      <x:c r="AE712" s="43"/>
      <x:c r="AF712" s="43"/>
      <x:c r="AG712" s="67"/>
      <x:c r="AH712" s="43"/>
      <x:c r="AI712" s="43"/>
    </x:row>
    <x:row r="713">
      <x:c r="A713" s="43"/>
      <x:c r="B713" s="43"/>
      <x:c r="C713" s="43"/>
      <x:c r="D713" s="43" t="str">
        <x:f>IF(C713="","",YEAR(C713))</x:f>
      </x:c>
      <x:c r="E713" s="43" t="str">
        <x:f>IF(C713="","",MONTH(C713))</x:f>
      </x:c>
      <x:c r="F713" s="43" t="str">
        <x:f>IF(C713="","",WEEKNUM(C713,21))</x:f>
      </x:c>
      <x:c r="G713" s="43" t="str">
        <x:f>IF(C713="","",CHOOSE(WEEKDAY(C713,2),"Lundi","Mardi","Mercredi","Jeudi","Vendredi","Samedi","Dimanche"))</x:f>
      </x:c>
      <x:c r="H713" s="43"/>
      <x:c r="I713" s="43"/>
      <x:c r="J713" s="43"/>
      <x:c r="K713" s="43"/>
      <x:c r="L713" s="43"/>
      <x:c r="M713" s="43"/>
      <x:c r="N713" s="43"/>
      <x:c r="O713" s="43"/>
      <x:c r="P713" s="43"/>
      <x:c r="Q713" s="43"/>
      <x:c r="R713" s="43"/>
      <x:c r="S713" s="43"/>
      <x:c r="T713" s="43"/>
      <x:c r="U713" s="43"/>
      <x:c r="V713" s="43"/>
      <x:c r="W713" s="43"/>
      <x:c r="X713" s="43"/>
      <x:c r="Y713" s="43"/>
      <x:c r="Z713" s="43"/>
      <x:c r="AA713" s="43"/>
      <x:c r="AB713" s="43"/>
      <x:c r="AC713" s="43"/>
      <x:c r="AD713" s="43"/>
      <x:c r="AE713" s="43"/>
      <x:c r="AF713" s="43"/>
      <x:c r="AG713" s="67"/>
      <x:c r="AH713" s="43"/>
      <x:c r="AI713" s="43"/>
    </x:row>
    <x:row r="714">
      <x:c r="A714" s="43"/>
      <x:c r="B714" s="43"/>
      <x:c r="C714" s="43"/>
      <x:c r="D714" s="43" t="str">
        <x:f>IF(C714="","",YEAR(C714))</x:f>
      </x:c>
      <x:c r="E714" s="43" t="str">
        <x:f>IF(C714="","",MONTH(C714))</x:f>
      </x:c>
      <x:c r="F714" s="43" t="str">
        <x:f>IF(C714="","",WEEKNUM(C714,21))</x:f>
      </x:c>
      <x:c r="G714" s="43" t="str">
        <x:f>IF(C714="","",CHOOSE(WEEKDAY(C714,2),"Lundi","Mardi","Mercredi","Jeudi","Vendredi","Samedi","Dimanche"))</x:f>
      </x:c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  <x:c r="AA714" s="43"/>
      <x:c r="AB714" s="43"/>
      <x:c r="AC714" s="43"/>
      <x:c r="AD714" s="43"/>
      <x:c r="AE714" s="43"/>
      <x:c r="AF714" s="43"/>
      <x:c r="AG714" s="67"/>
      <x:c r="AH714" s="43"/>
      <x:c r="AI714" s="43"/>
    </x:row>
    <x:row r="715">
      <x:c r="A715" s="43"/>
      <x:c r="B715" s="43"/>
      <x:c r="C715" s="43"/>
      <x:c r="D715" s="43" t="str">
        <x:f>IF(C715="","",YEAR(C715))</x:f>
      </x:c>
      <x:c r="E715" s="43" t="str">
        <x:f>IF(C715="","",MONTH(C715))</x:f>
      </x:c>
      <x:c r="F715" s="43" t="str">
        <x:f>IF(C715="","",WEEKNUM(C715,21))</x:f>
      </x:c>
      <x:c r="G715" s="43" t="str">
        <x:f>IF(C715="","",CHOOSE(WEEKDAY(C715,2),"Lundi","Mardi","Mercredi","Jeudi","Vendredi","Samedi","Dimanche"))</x:f>
      </x:c>
      <x:c r="H715" s="43"/>
      <x:c r="I715" s="43"/>
      <x:c r="J715" s="43"/>
      <x:c r="K715" s="43"/>
      <x:c r="L715" s="43"/>
      <x:c r="M715" s="43"/>
      <x:c r="N715" s="43"/>
      <x:c r="O715" s="43"/>
      <x:c r="P715" s="43"/>
      <x:c r="Q715" s="43"/>
      <x:c r="R715" s="43"/>
      <x:c r="S715" s="43"/>
      <x:c r="T715" s="43"/>
      <x:c r="U715" s="43"/>
      <x:c r="V715" s="43"/>
      <x:c r="W715" s="43"/>
      <x:c r="X715" s="43"/>
      <x:c r="Y715" s="43"/>
      <x:c r="Z715" s="43"/>
      <x:c r="AA715" s="43"/>
      <x:c r="AB715" s="43"/>
      <x:c r="AC715" s="43"/>
      <x:c r="AD715" s="43"/>
      <x:c r="AE715" s="43"/>
      <x:c r="AF715" s="43"/>
      <x:c r="AG715" s="67"/>
      <x:c r="AH715" s="43"/>
      <x:c r="AI715" s="43"/>
    </x:row>
    <x:row r="716">
      <x:c r="A716" s="43"/>
      <x:c r="B716" s="43"/>
      <x:c r="C716" s="43"/>
      <x:c r="D716" s="43" t="str">
        <x:f>IF(C716="","",YEAR(C716))</x:f>
      </x:c>
      <x:c r="E716" s="43" t="str">
        <x:f>IF(C716="","",MONTH(C716))</x:f>
      </x:c>
      <x:c r="F716" s="43" t="str">
        <x:f>IF(C716="","",WEEKNUM(C716,21))</x:f>
      </x:c>
      <x:c r="G716" s="43" t="str">
        <x:f>IF(C716="","",CHOOSE(WEEKDAY(C716,2),"Lundi","Mardi","Mercredi","Jeudi","Vendredi","Samedi","Dimanche"))</x:f>
      </x:c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  <x:c r="AA716" s="43"/>
      <x:c r="AB716" s="43"/>
      <x:c r="AC716" s="43"/>
      <x:c r="AD716" s="43"/>
      <x:c r="AE716" s="43"/>
      <x:c r="AF716" s="43"/>
      <x:c r="AG716" s="67"/>
      <x:c r="AH716" s="43"/>
      <x:c r="AI716" s="43"/>
    </x:row>
    <x:row r="717">
      <x:c r="A717" s="43"/>
      <x:c r="B717" s="43"/>
      <x:c r="C717" s="43"/>
      <x:c r="D717" s="43" t="str">
        <x:f>IF(C717="","",YEAR(C717))</x:f>
      </x:c>
      <x:c r="E717" s="43" t="str">
        <x:f>IF(C717="","",MONTH(C717))</x:f>
      </x:c>
      <x:c r="F717" s="43" t="str">
        <x:f>IF(C717="","",WEEKNUM(C717,21))</x:f>
      </x:c>
      <x:c r="G717" s="43" t="str">
        <x:f>IF(C717="","",CHOOSE(WEEKDAY(C717,2),"Lundi","Mardi","Mercredi","Jeudi","Vendredi","Samedi","Dimanche"))</x:f>
      </x:c>
      <x:c r="H717" s="43"/>
      <x:c r="I717" s="43"/>
      <x:c r="J717" s="43"/>
      <x:c r="K717" s="43"/>
      <x:c r="L717" s="43"/>
      <x:c r="M717" s="43"/>
      <x:c r="N717" s="43"/>
      <x:c r="O717" s="43"/>
      <x:c r="P717" s="43"/>
      <x:c r="Q717" s="43"/>
      <x:c r="R717" s="43"/>
      <x:c r="S717" s="43"/>
      <x:c r="T717" s="43"/>
      <x:c r="U717" s="43"/>
      <x:c r="V717" s="43"/>
      <x:c r="W717" s="43"/>
      <x:c r="X717" s="43"/>
      <x:c r="Y717" s="43"/>
      <x:c r="Z717" s="43"/>
      <x:c r="AA717" s="43"/>
      <x:c r="AB717" s="43"/>
      <x:c r="AC717" s="43"/>
      <x:c r="AD717" s="43"/>
      <x:c r="AE717" s="43"/>
      <x:c r="AF717" s="43"/>
      <x:c r="AG717" s="67"/>
      <x:c r="AH717" s="43"/>
      <x:c r="AI717" s="43"/>
    </x:row>
    <x:row r="718">
      <x:c r="A718" s="43"/>
      <x:c r="B718" s="43"/>
      <x:c r="C718" s="43"/>
      <x:c r="D718" s="43" t="str">
        <x:f>IF(C718="","",YEAR(C718))</x:f>
      </x:c>
      <x:c r="E718" s="43" t="str">
        <x:f>IF(C718="","",MONTH(C718))</x:f>
      </x:c>
      <x:c r="F718" s="43" t="str">
        <x:f>IF(C718="","",WEEKNUM(C718,21))</x:f>
      </x:c>
      <x:c r="G718" s="43" t="str">
        <x:f>IF(C718="","",CHOOSE(WEEKDAY(C718,2),"Lundi","Mardi","Mercredi","Jeudi","Vendredi","Samedi","Dimanche"))</x:f>
      </x:c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  <x:c r="AA718" s="43"/>
      <x:c r="AB718" s="43"/>
      <x:c r="AC718" s="43"/>
      <x:c r="AD718" s="43"/>
      <x:c r="AE718" s="43"/>
      <x:c r="AF718" s="43"/>
      <x:c r="AG718" s="67"/>
      <x:c r="AH718" s="43"/>
      <x:c r="AI718" s="43"/>
    </x:row>
    <x:row r="719">
      <x:c r="A719" s="43"/>
      <x:c r="B719" s="43"/>
      <x:c r="C719" s="43"/>
      <x:c r="D719" s="43" t="str">
        <x:f>IF(C719="","",YEAR(C719))</x:f>
      </x:c>
      <x:c r="E719" s="43" t="str">
        <x:f>IF(C719="","",MONTH(C719))</x:f>
      </x:c>
      <x:c r="F719" s="43" t="str">
        <x:f>IF(C719="","",WEEKNUM(C719,21))</x:f>
      </x:c>
      <x:c r="G719" s="43" t="str">
        <x:f>IF(C719="","",CHOOSE(WEEKDAY(C719,2),"Lundi","Mardi","Mercredi","Jeudi","Vendredi","Samedi","Dimanche"))</x:f>
      </x:c>
      <x:c r="H719" s="43"/>
      <x:c r="I719" s="43"/>
      <x:c r="J719" s="43"/>
      <x:c r="K719" s="43"/>
      <x:c r="L719" s="43"/>
      <x:c r="M719" s="43"/>
      <x:c r="N719" s="43"/>
      <x:c r="O719" s="43"/>
      <x:c r="P719" s="43"/>
      <x:c r="Q719" s="43"/>
      <x:c r="R719" s="43"/>
      <x:c r="S719" s="43"/>
      <x:c r="T719" s="43"/>
      <x:c r="U719" s="43"/>
      <x:c r="V719" s="43"/>
      <x:c r="W719" s="43"/>
      <x:c r="X719" s="43"/>
      <x:c r="Y719" s="43"/>
      <x:c r="Z719" s="43"/>
      <x:c r="AA719" s="43"/>
      <x:c r="AB719" s="43"/>
      <x:c r="AC719" s="43"/>
      <x:c r="AD719" s="43"/>
      <x:c r="AE719" s="43"/>
      <x:c r="AF719" s="43"/>
      <x:c r="AG719" s="67"/>
      <x:c r="AH719" s="43"/>
      <x:c r="AI719" s="43"/>
    </x:row>
    <x:row r="720">
      <x:c r="A720" s="43"/>
      <x:c r="B720" s="43"/>
      <x:c r="C720" s="43"/>
      <x:c r="D720" s="43" t="str">
        <x:f>IF(C720="","",YEAR(C720))</x:f>
      </x:c>
      <x:c r="E720" s="43" t="str">
        <x:f>IF(C720="","",MONTH(C720))</x:f>
      </x:c>
      <x:c r="F720" s="43" t="str">
        <x:f>IF(C720="","",WEEKNUM(C720,21))</x:f>
      </x:c>
      <x:c r="G720" s="43" t="str">
        <x:f>IF(C720="","",CHOOSE(WEEKDAY(C720,2),"Lundi","Mardi","Mercredi","Jeudi","Vendredi","Samedi","Dimanche"))</x:f>
      </x:c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  <x:c r="AA720" s="43"/>
      <x:c r="AB720" s="43"/>
      <x:c r="AC720" s="43"/>
      <x:c r="AD720" s="43"/>
      <x:c r="AE720" s="43"/>
      <x:c r="AF720" s="43"/>
      <x:c r="AG720" s="67"/>
      <x:c r="AH720" s="43"/>
      <x:c r="AI720" s="43"/>
    </x:row>
    <x:row r="721">
      <x:c r="A721" s="43"/>
      <x:c r="B721" s="43"/>
      <x:c r="C721" s="43"/>
      <x:c r="D721" s="43" t="str">
        <x:f>IF(C721="","",YEAR(C721))</x:f>
      </x:c>
      <x:c r="E721" s="43" t="str">
        <x:f>IF(C721="","",MONTH(C721))</x:f>
      </x:c>
      <x:c r="F721" s="43" t="str">
        <x:f>IF(C721="","",WEEKNUM(C721,21))</x:f>
      </x:c>
      <x:c r="G721" s="43" t="str">
        <x:f>IF(C721="","",CHOOSE(WEEKDAY(C721,2),"Lundi","Mardi","Mercredi","Jeudi","Vendredi","Samedi","Dimanche"))</x:f>
      </x:c>
      <x:c r="H721" s="43"/>
      <x:c r="I721" s="43"/>
      <x:c r="J721" s="43"/>
      <x:c r="K721" s="43"/>
      <x:c r="L721" s="43"/>
      <x:c r="M721" s="43"/>
      <x:c r="N721" s="43"/>
      <x:c r="O721" s="43"/>
      <x:c r="P721" s="43"/>
      <x:c r="Q721" s="43"/>
      <x:c r="R721" s="43"/>
      <x:c r="S721" s="43"/>
      <x:c r="T721" s="43"/>
      <x:c r="U721" s="43"/>
      <x:c r="V721" s="43"/>
      <x:c r="W721" s="43"/>
      <x:c r="X721" s="43"/>
      <x:c r="Y721" s="43"/>
      <x:c r="Z721" s="43"/>
      <x:c r="AA721" s="43"/>
      <x:c r="AB721" s="43"/>
      <x:c r="AC721" s="43"/>
      <x:c r="AD721" s="43"/>
      <x:c r="AE721" s="43"/>
      <x:c r="AF721" s="43"/>
      <x:c r="AG721" s="67"/>
      <x:c r="AH721" s="43"/>
      <x:c r="AI721" s="43"/>
    </x:row>
    <x:row r="722">
      <x:c r="A722" s="43"/>
      <x:c r="B722" s="43"/>
      <x:c r="C722" s="43"/>
      <x:c r="D722" s="43" t="str">
        <x:f>IF(C722="","",YEAR(C722))</x:f>
      </x:c>
      <x:c r="E722" s="43" t="str">
        <x:f>IF(C722="","",MONTH(C722))</x:f>
      </x:c>
      <x:c r="F722" s="43" t="str">
        <x:f>IF(C722="","",WEEKNUM(C722,21))</x:f>
      </x:c>
      <x:c r="G722" s="43" t="str">
        <x:f>IF(C722="","",CHOOSE(WEEKDAY(C722,2),"Lundi","Mardi","Mercredi","Jeudi","Vendredi","Samedi","Dimanche"))</x:f>
      </x:c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  <x:c r="AA722" s="43"/>
      <x:c r="AB722" s="43"/>
      <x:c r="AC722" s="43"/>
      <x:c r="AD722" s="43"/>
      <x:c r="AE722" s="43"/>
      <x:c r="AF722" s="43"/>
      <x:c r="AG722" s="67"/>
      <x:c r="AH722" s="43"/>
      <x:c r="AI722" s="43"/>
    </x:row>
    <x:row r="723">
      <x:c r="A723" s="43"/>
      <x:c r="B723" s="43"/>
      <x:c r="C723" s="43"/>
      <x:c r="D723" s="43" t="str">
        <x:f>IF(C723="","",YEAR(C723))</x:f>
      </x:c>
      <x:c r="E723" s="43" t="str">
        <x:f>IF(C723="","",MONTH(C723))</x:f>
      </x:c>
      <x:c r="F723" s="43" t="str">
        <x:f>IF(C723="","",WEEKNUM(C723,21))</x:f>
      </x:c>
      <x:c r="G723" s="43" t="str">
        <x:f>IF(C723="","",CHOOSE(WEEKDAY(C723,2),"Lundi","Mardi","Mercredi","Jeudi","Vendredi","Samedi","Dimanche"))</x:f>
      </x:c>
      <x:c r="H723" s="43"/>
      <x:c r="I723" s="43"/>
      <x:c r="J723" s="43"/>
      <x:c r="K723" s="43"/>
      <x:c r="L723" s="43"/>
      <x:c r="M723" s="43"/>
      <x:c r="N723" s="43"/>
      <x:c r="O723" s="43"/>
      <x:c r="P723" s="43"/>
      <x:c r="Q723" s="43"/>
      <x:c r="R723" s="43"/>
      <x:c r="S723" s="43"/>
      <x:c r="T723" s="43"/>
      <x:c r="U723" s="43"/>
      <x:c r="V723" s="43"/>
      <x:c r="W723" s="43"/>
      <x:c r="X723" s="43"/>
      <x:c r="Y723" s="43"/>
      <x:c r="Z723" s="43"/>
      <x:c r="AA723" s="43"/>
      <x:c r="AB723" s="43"/>
      <x:c r="AC723" s="43"/>
      <x:c r="AD723" s="43"/>
      <x:c r="AE723" s="43"/>
      <x:c r="AF723" s="43"/>
      <x:c r="AG723" s="67"/>
      <x:c r="AH723" s="43"/>
      <x:c r="AI723" s="43"/>
    </x:row>
    <x:row r="724">
      <x:c r="A724" s="43"/>
      <x:c r="B724" s="43"/>
      <x:c r="C724" s="43"/>
      <x:c r="D724" s="43" t="str">
        <x:f>IF(C724="","",YEAR(C724))</x:f>
      </x:c>
      <x:c r="E724" s="43" t="str">
        <x:f>IF(C724="","",MONTH(C724))</x:f>
      </x:c>
      <x:c r="F724" s="43" t="str">
        <x:f>IF(C724="","",WEEKNUM(C724,21))</x:f>
      </x:c>
      <x:c r="G724" s="43" t="str">
        <x:f>IF(C724="","",CHOOSE(WEEKDAY(C724,2),"Lundi","Mardi","Mercredi","Jeudi","Vendredi","Samedi","Dimanche"))</x:f>
      </x:c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  <x:c r="AA724" s="43"/>
      <x:c r="AB724" s="43"/>
      <x:c r="AC724" s="43"/>
      <x:c r="AD724" s="43"/>
      <x:c r="AE724" s="43"/>
      <x:c r="AF724" s="43"/>
      <x:c r="AG724" s="67"/>
      <x:c r="AH724" s="43"/>
      <x:c r="AI724" s="43"/>
    </x:row>
    <x:row r="725">
      <x:c r="A725" s="43"/>
      <x:c r="B725" s="43"/>
      <x:c r="C725" s="43"/>
      <x:c r="D725" s="43" t="str">
        <x:f>IF(C725="","",YEAR(C725))</x:f>
      </x:c>
      <x:c r="E725" s="43" t="str">
        <x:f>IF(C725="","",MONTH(C725))</x:f>
      </x:c>
      <x:c r="F725" s="43" t="str">
        <x:f>IF(C725="","",WEEKNUM(C725,21))</x:f>
      </x:c>
      <x:c r="G725" s="43" t="str">
        <x:f>IF(C725="","",CHOOSE(WEEKDAY(C725,2),"Lundi","Mardi","Mercredi","Jeudi","Vendredi","Samedi","Dimanche"))</x:f>
      </x:c>
      <x:c r="H725" s="43"/>
      <x:c r="I725" s="43"/>
      <x:c r="J725" s="43"/>
      <x:c r="K725" s="43"/>
      <x:c r="L725" s="43"/>
      <x:c r="M725" s="43"/>
      <x:c r="N725" s="43"/>
      <x:c r="O725" s="43"/>
      <x:c r="P725" s="43"/>
      <x:c r="Q725" s="43"/>
      <x:c r="R725" s="43"/>
      <x:c r="S725" s="43"/>
      <x:c r="T725" s="43"/>
      <x:c r="U725" s="43"/>
      <x:c r="V725" s="43"/>
      <x:c r="W725" s="43"/>
      <x:c r="X725" s="43"/>
      <x:c r="Y725" s="43"/>
      <x:c r="Z725" s="43"/>
      <x:c r="AA725" s="43"/>
      <x:c r="AB725" s="43"/>
      <x:c r="AC725" s="43"/>
      <x:c r="AD725" s="43"/>
      <x:c r="AE725" s="43"/>
      <x:c r="AF725" s="43"/>
      <x:c r="AG725" s="67"/>
      <x:c r="AH725" s="43"/>
      <x:c r="AI725" s="43"/>
    </x:row>
    <x:row r="726">
      <x:c r="A726" s="43"/>
      <x:c r="B726" s="43"/>
      <x:c r="C726" s="43"/>
      <x:c r="D726" s="43" t="str">
        <x:f>IF(C726="","",YEAR(C726))</x:f>
      </x:c>
      <x:c r="E726" s="43" t="str">
        <x:f>IF(C726="","",MONTH(C726))</x:f>
      </x:c>
      <x:c r="F726" s="43" t="str">
        <x:f>IF(C726="","",WEEKNUM(C726,21))</x:f>
      </x:c>
      <x:c r="G726" s="43" t="str">
        <x:f>IF(C726="","",CHOOSE(WEEKDAY(C726,2),"Lundi","Mardi","Mercredi","Jeudi","Vendredi","Samedi","Dimanche"))</x:f>
      </x:c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  <x:c r="AA726" s="43"/>
      <x:c r="AB726" s="43"/>
      <x:c r="AC726" s="43"/>
      <x:c r="AD726" s="43"/>
      <x:c r="AE726" s="43"/>
      <x:c r="AF726" s="43"/>
      <x:c r="AG726" s="67"/>
      <x:c r="AH726" s="43"/>
      <x:c r="AI726" s="43"/>
    </x:row>
    <x:row r="727">
      <x:c r="A727" s="43"/>
      <x:c r="B727" s="43"/>
      <x:c r="C727" s="43"/>
      <x:c r="D727" s="43" t="str">
        <x:f>IF(C727="","",YEAR(C727))</x:f>
      </x:c>
      <x:c r="E727" s="43" t="str">
        <x:f>IF(C727="","",MONTH(C727))</x:f>
      </x:c>
      <x:c r="F727" s="43" t="str">
        <x:f>IF(C727="","",WEEKNUM(C727,21))</x:f>
      </x:c>
      <x:c r="G727" s="43" t="str">
        <x:f>IF(C727="","",CHOOSE(WEEKDAY(C727,2),"Lundi","Mardi","Mercredi","Jeudi","Vendredi","Samedi","Dimanche"))</x:f>
      </x:c>
      <x:c r="H727" s="43"/>
      <x:c r="I727" s="43"/>
      <x:c r="J727" s="43"/>
      <x:c r="K727" s="43"/>
      <x:c r="L727" s="43"/>
      <x:c r="M727" s="43"/>
      <x:c r="N727" s="43"/>
      <x:c r="O727" s="43"/>
      <x:c r="P727" s="43"/>
      <x:c r="Q727" s="43"/>
      <x:c r="R727" s="43"/>
      <x:c r="S727" s="43"/>
      <x:c r="T727" s="43"/>
      <x:c r="U727" s="43"/>
      <x:c r="V727" s="43"/>
      <x:c r="W727" s="43"/>
      <x:c r="X727" s="43"/>
      <x:c r="Y727" s="43"/>
      <x:c r="Z727" s="43"/>
      <x:c r="AA727" s="43"/>
      <x:c r="AB727" s="43"/>
      <x:c r="AC727" s="43"/>
      <x:c r="AD727" s="43"/>
      <x:c r="AE727" s="43"/>
      <x:c r="AF727" s="43"/>
      <x:c r="AG727" s="67"/>
      <x:c r="AH727" s="43"/>
      <x:c r="AI727" s="43"/>
    </x:row>
    <x:row r="728">
      <x:c r="A728" s="43"/>
      <x:c r="B728" s="43"/>
      <x:c r="C728" s="43"/>
      <x:c r="D728" s="43" t="str">
        <x:f>IF(C728="","",YEAR(C728))</x:f>
      </x:c>
      <x:c r="E728" s="43" t="str">
        <x:f>IF(C728="","",MONTH(C728))</x:f>
      </x:c>
      <x:c r="F728" s="43" t="str">
        <x:f>IF(C728="","",WEEKNUM(C728,21))</x:f>
      </x:c>
      <x:c r="G728" s="43" t="str">
        <x:f>IF(C728="","",CHOOSE(WEEKDAY(C728,2),"Lundi","Mardi","Mercredi","Jeudi","Vendredi","Samedi","Dimanche"))</x:f>
      </x:c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  <x:c r="AA728" s="43"/>
      <x:c r="AB728" s="43"/>
      <x:c r="AC728" s="43"/>
      <x:c r="AD728" s="43"/>
      <x:c r="AE728" s="43"/>
      <x:c r="AF728" s="43"/>
      <x:c r="AG728" s="67"/>
      <x:c r="AH728" s="43"/>
      <x:c r="AI728" s="43"/>
    </x:row>
    <x:row r="729">
      <x:c r="A729" s="43"/>
      <x:c r="B729" s="43"/>
      <x:c r="C729" s="43"/>
      <x:c r="D729" s="43" t="str">
        <x:f>IF(C729="","",YEAR(C729))</x:f>
      </x:c>
      <x:c r="E729" s="43" t="str">
        <x:f>IF(C729="","",MONTH(C729))</x:f>
      </x:c>
      <x:c r="F729" s="43" t="str">
        <x:f>IF(C729="","",WEEKNUM(C729,21))</x:f>
      </x:c>
      <x:c r="G729" s="43" t="str">
        <x:f>IF(C729="","",CHOOSE(WEEKDAY(C729,2),"Lundi","Mardi","Mercredi","Jeudi","Vendredi","Samedi","Dimanche"))</x:f>
      </x:c>
      <x:c r="H729" s="43"/>
      <x:c r="I729" s="43"/>
      <x:c r="J729" s="43"/>
      <x:c r="K729" s="43"/>
      <x:c r="L729" s="43"/>
      <x:c r="M729" s="43"/>
      <x:c r="N729" s="43"/>
      <x:c r="O729" s="43"/>
      <x:c r="P729" s="43"/>
      <x:c r="Q729" s="43"/>
      <x:c r="R729" s="43"/>
      <x:c r="S729" s="43"/>
      <x:c r="T729" s="43"/>
      <x:c r="U729" s="43"/>
      <x:c r="V729" s="43"/>
      <x:c r="W729" s="43"/>
      <x:c r="X729" s="43"/>
      <x:c r="Y729" s="43"/>
      <x:c r="Z729" s="43"/>
      <x:c r="AA729" s="43"/>
      <x:c r="AB729" s="43"/>
      <x:c r="AC729" s="43"/>
      <x:c r="AD729" s="43"/>
      <x:c r="AE729" s="43"/>
      <x:c r="AF729" s="43"/>
      <x:c r="AG729" s="67"/>
      <x:c r="AH729" s="43"/>
      <x:c r="AI729" s="43"/>
    </x:row>
    <x:row r="730">
      <x:c r="A730" s="43"/>
      <x:c r="B730" s="43"/>
      <x:c r="C730" s="43"/>
      <x:c r="D730" s="43" t="str">
        <x:f>IF(C730="","",YEAR(C730))</x:f>
      </x:c>
      <x:c r="E730" s="43" t="str">
        <x:f>IF(C730="","",MONTH(C730))</x:f>
      </x:c>
      <x:c r="F730" s="43" t="str">
        <x:f>IF(C730="","",WEEKNUM(C730,21))</x:f>
      </x:c>
      <x:c r="G730" s="43" t="str">
        <x:f>IF(C730="","",CHOOSE(WEEKDAY(C730,2),"Lundi","Mardi","Mercredi","Jeudi","Vendredi","Samedi","Dimanche"))</x:f>
      </x:c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  <x:c r="AA730" s="43"/>
      <x:c r="AB730" s="43"/>
      <x:c r="AC730" s="43"/>
      <x:c r="AD730" s="43"/>
      <x:c r="AE730" s="43"/>
      <x:c r="AF730" s="43"/>
      <x:c r="AG730" s="67"/>
      <x:c r="AH730" s="43"/>
      <x:c r="AI730" s="43"/>
    </x:row>
    <x:row r="731">
      <x:c r="A731" s="43"/>
      <x:c r="B731" s="43"/>
      <x:c r="C731" s="43"/>
      <x:c r="D731" s="43" t="str">
        <x:f>IF(C731="","",YEAR(C731))</x:f>
      </x:c>
      <x:c r="E731" s="43" t="str">
        <x:f>IF(C731="","",MONTH(C731))</x:f>
      </x:c>
      <x:c r="F731" s="43" t="str">
        <x:f>IF(C731="","",WEEKNUM(C731,21))</x:f>
      </x:c>
      <x:c r="G731" s="43" t="str">
        <x:f>IF(C731="","",CHOOSE(WEEKDAY(C731,2),"Lundi","Mardi","Mercredi","Jeudi","Vendredi","Samedi","Dimanche"))</x:f>
      </x:c>
      <x:c r="H731" s="43"/>
      <x:c r="I731" s="43"/>
      <x:c r="J731" s="43"/>
      <x:c r="K731" s="43"/>
      <x:c r="L731" s="43"/>
      <x:c r="M731" s="43"/>
      <x:c r="N731" s="43"/>
      <x:c r="O731" s="43"/>
      <x:c r="P731" s="43"/>
      <x:c r="Q731" s="43"/>
      <x:c r="R731" s="43"/>
      <x:c r="S731" s="43"/>
      <x:c r="T731" s="43"/>
      <x:c r="U731" s="43"/>
      <x:c r="V731" s="43"/>
      <x:c r="W731" s="43"/>
      <x:c r="X731" s="43"/>
      <x:c r="Y731" s="43"/>
      <x:c r="Z731" s="43"/>
      <x:c r="AA731" s="43"/>
      <x:c r="AB731" s="43"/>
      <x:c r="AC731" s="43"/>
      <x:c r="AD731" s="43"/>
      <x:c r="AE731" s="43"/>
      <x:c r="AF731" s="43"/>
      <x:c r="AG731" s="67"/>
      <x:c r="AH731" s="43"/>
      <x:c r="AI731" s="43"/>
    </x:row>
    <x:row r="732">
      <x:c r="A732" s="43"/>
      <x:c r="B732" s="43"/>
      <x:c r="C732" s="43"/>
      <x:c r="D732" s="43" t="str">
        <x:f>IF(C732="","",YEAR(C732))</x:f>
      </x:c>
      <x:c r="E732" s="43" t="str">
        <x:f>IF(C732="","",MONTH(C732))</x:f>
      </x:c>
      <x:c r="F732" s="43" t="str">
        <x:f>IF(C732="","",WEEKNUM(C732,21))</x:f>
      </x:c>
      <x:c r="G732" s="43" t="str">
        <x:f>IF(C732="","",CHOOSE(WEEKDAY(C732,2),"Lundi","Mardi","Mercredi","Jeudi","Vendredi","Samedi","Dimanche"))</x:f>
      </x:c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  <x:c r="AA732" s="43"/>
      <x:c r="AB732" s="43"/>
      <x:c r="AC732" s="43"/>
      <x:c r="AD732" s="43"/>
      <x:c r="AE732" s="43"/>
      <x:c r="AF732" s="43"/>
      <x:c r="AG732" s="67"/>
      <x:c r="AH732" s="43"/>
      <x:c r="AI732" s="43"/>
    </x:row>
    <x:row r="733">
      <x:c r="A733" s="43"/>
      <x:c r="B733" s="43"/>
      <x:c r="C733" s="43"/>
      <x:c r="D733" s="43" t="str">
        <x:f>IF(C733="","",YEAR(C733))</x:f>
      </x:c>
      <x:c r="E733" s="43" t="str">
        <x:f>IF(C733="","",MONTH(C733))</x:f>
      </x:c>
      <x:c r="F733" s="43" t="str">
        <x:f>IF(C733="","",WEEKNUM(C733,21))</x:f>
      </x:c>
      <x:c r="G733" s="43" t="str">
        <x:f>IF(C733="","",CHOOSE(WEEKDAY(C733,2),"Lundi","Mardi","Mercredi","Jeudi","Vendredi","Samedi","Dimanche"))</x:f>
      </x:c>
      <x:c r="H733" s="43"/>
      <x:c r="I733" s="43"/>
      <x:c r="J733" s="43"/>
      <x:c r="K733" s="43"/>
      <x:c r="L733" s="43"/>
      <x:c r="M733" s="43"/>
      <x:c r="N733" s="43"/>
      <x:c r="O733" s="43"/>
      <x:c r="P733" s="43"/>
      <x:c r="Q733" s="43"/>
      <x:c r="R733" s="43"/>
      <x:c r="S733" s="43"/>
      <x:c r="T733" s="43"/>
      <x:c r="U733" s="43"/>
      <x:c r="V733" s="43"/>
      <x:c r="W733" s="43"/>
      <x:c r="X733" s="43"/>
      <x:c r="Y733" s="43"/>
      <x:c r="Z733" s="43"/>
      <x:c r="AA733" s="43"/>
      <x:c r="AB733" s="43"/>
      <x:c r="AC733" s="43"/>
      <x:c r="AD733" s="43"/>
      <x:c r="AE733" s="43"/>
      <x:c r="AF733" s="43"/>
      <x:c r="AG733" s="67"/>
      <x:c r="AH733" s="43"/>
      <x:c r="AI733" s="43"/>
    </x:row>
    <x:row r="734">
      <x:c r="A734" s="43"/>
      <x:c r="B734" s="43"/>
      <x:c r="C734" s="43"/>
      <x:c r="D734" s="43" t="str">
        <x:f>IF(C734="","",YEAR(C734))</x:f>
      </x:c>
      <x:c r="E734" s="43" t="str">
        <x:f>IF(C734="","",MONTH(C734))</x:f>
      </x:c>
      <x:c r="F734" s="43" t="str">
        <x:f>IF(C734="","",WEEKNUM(C734,21))</x:f>
      </x:c>
      <x:c r="G734" s="43" t="str">
        <x:f>IF(C734="","",CHOOSE(WEEKDAY(C734,2),"Lundi","Mardi","Mercredi","Jeudi","Vendredi","Samedi","Dimanche"))</x:f>
      </x:c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  <x:c r="AA734" s="43"/>
      <x:c r="AB734" s="43"/>
      <x:c r="AC734" s="43"/>
      <x:c r="AD734" s="43"/>
      <x:c r="AE734" s="43"/>
      <x:c r="AF734" s="43"/>
      <x:c r="AG734" s="67"/>
      <x:c r="AH734" s="43"/>
      <x:c r="AI734" s="43"/>
    </x:row>
    <x:row r="735">
      <x:c r="A735" s="43"/>
      <x:c r="B735" s="43"/>
      <x:c r="C735" s="43"/>
      <x:c r="D735" s="43" t="str">
        <x:f>IF(C735="","",YEAR(C735))</x:f>
      </x:c>
      <x:c r="E735" s="43" t="str">
        <x:f>IF(C735="","",MONTH(C735))</x:f>
      </x:c>
      <x:c r="F735" s="43" t="str">
        <x:f>IF(C735="","",WEEKNUM(C735,21))</x:f>
      </x:c>
      <x:c r="G735" s="43" t="str">
        <x:f>IF(C735="","",CHOOSE(WEEKDAY(C735,2),"Lundi","Mardi","Mercredi","Jeudi","Vendredi","Samedi","Dimanche"))</x:f>
      </x:c>
      <x:c r="H735" s="43"/>
      <x:c r="I735" s="43"/>
      <x:c r="J735" s="43"/>
      <x:c r="K735" s="43"/>
      <x:c r="L735" s="43"/>
      <x:c r="M735" s="43"/>
      <x:c r="N735" s="43"/>
      <x:c r="O735" s="43"/>
      <x:c r="P735" s="43"/>
      <x:c r="Q735" s="43"/>
      <x:c r="R735" s="43"/>
      <x:c r="S735" s="43"/>
      <x:c r="T735" s="43"/>
      <x:c r="U735" s="43"/>
      <x:c r="V735" s="43"/>
      <x:c r="W735" s="43"/>
      <x:c r="X735" s="43"/>
      <x:c r="Y735" s="43"/>
      <x:c r="Z735" s="43"/>
      <x:c r="AA735" s="43"/>
      <x:c r="AB735" s="43"/>
      <x:c r="AC735" s="43"/>
      <x:c r="AD735" s="43"/>
      <x:c r="AE735" s="43"/>
      <x:c r="AF735" s="43"/>
      <x:c r="AG735" s="67"/>
      <x:c r="AH735" s="43"/>
      <x:c r="AI735" s="43"/>
    </x:row>
    <x:row r="736">
      <x:c r="A736" s="43"/>
      <x:c r="B736" s="43"/>
      <x:c r="C736" s="43"/>
      <x:c r="D736" s="43" t="str">
        <x:f>IF(C736="","",YEAR(C736))</x:f>
      </x:c>
      <x:c r="E736" s="43" t="str">
        <x:f>IF(C736="","",MONTH(C736))</x:f>
      </x:c>
      <x:c r="F736" s="43" t="str">
        <x:f>IF(C736="","",WEEKNUM(C736,21))</x:f>
      </x:c>
      <x:c r="G736" s="43" t="str">
        <x:f>IF(C736="","",CHOOSE(WEEKDAY(C736,2),"Lundi","Mardi","Mercredi","Jeudi","Vendredi","Samedi","Dimanche"))</x:f>
      </x:c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  <x:c r="AA736" s="43"/>
      <x:c r="AB736" s="43"/>
      <x:c r="AC736" s="43"/>
      <x:c r="AD736" s="43"/>
      <x:c r="AE736" s="43"/>
      <x:c r="AF736" s="43"/>
      <x:c r="AG736" s="67"/>
      <x:c r="AH736" s="43"/>
      <x:c r="AI736" s="43"/>
    </x:row>
    <x:row r="737">
      <x:c r="A737" s="43"/>
      <x:c r="B737" s="43"/>
      <x:c r="C737" s="43"/>
      <x:c r="D737" s="43" t="str">
        <x:f>IF(C737="","",YEAR(C737))</x:f>
      </x:c>
      <x:c r="E737" s="43" t="str">
        <x:f>IF(C737="","",MONTH(C737))</x:f>
      </x:c>
      <x:c r="F737" s="43" t="str">
        <x:f>IF(C737="","",WEEKNUM(C737,21))</x:f>
      </x:c>
      <x:c r="G737" s="43" t="str">
        <x:f>IF(C737="","",CHOOSE(WEEKDAY(C737,2),"Lundi","Mardi","Mercredi","Jeudi","Vendredi","Samedi","Dimanche"))</x:f>
      </x:c>
      <x:c r="H737" s="43"/>
      <x:c r="I737" s="43"/>
      <x:c r="J737" s="43"/>
      <x:c r="K737" s="43"/>
      <x:c r="L737" s="43"/>
      <x:c r="M737" s="43"/>
      <x:c r="N737" s="43"/>
      <x:c r="O737" s="43"/>
      <x:c r="P737" s="43"/>
      <x:c r="Q737" s="43"/>
      <x:c r="R737" s="43"/>
      <x:c r="S737" s="43"/>
      <x:c r="T737" s="43"/>
      <x:c r="U737" s="43"/>
      <x:c r="V737" s="43"/>
      <x:c r="W737" s="43"/>
      <x:c r="X737" s="43"/>
      <x:c r="Y737" s="43"/>
      <x:c r="Z737" s="43"/>
      <x:c r="AA737" s="43"/>
      <x:c r="AB737" s="43"/>
      <x:c r="AC737" s="43"/>
      <x:c r="AD737" s="43"/>
      <x:c r="AE737" s="43"/>
      <x:c r="AF737" s="43"/>
      <x:c r="AG737" s="67"/>
      <x:c r="AH737" s="43"/>
      <x:c r="AI737" s="43"/>
    </x:row>
    <x:row r="738">
      <x:c r="A738" s="43"/>
      <x:c r="B738" s="43"/>
      <x:c r="C738" s="43"/>
      <x:c r="D738" s="43" t="str">
        <x:f>IF(C738="","",YEAR(C738))</x:f>
      </x:c>
      <x:c r="E738" s="43" t="str">
        <x:f>IF(C738="","",MONTH(C738))</x:f>
      </x:c>
      <x:c r="F738" s="43" t="str">
        <x:f>IF(C738="","",WEEKNUM(C738,21))</x:f>
      </x:c>
      <x:c r="G738" s="43" t="str">
        <x:f>IF(C738="","",CHOOSE(WEEKDAY(C738,2),"Lundi","Mardi","Mercredi","Jeudi","Vendredi","Samedi","Dimanche"))</x:f>
      </x:c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  <x:c r="AA738" s="43"/>
      <x:c r="AB738" s="43"/>
      <x:c r="AC738" s="43"/>
      <x:c r="AD738" s="43"/>
      <x:c r="AE738" s="43"/>
      <x:c r="AF738" s="43"/>
      <x:c r="AG738" s="67"/>
      <x:c r="AH738" s="43"/>
      <x:c r="AI738" s="43"/>
    </x:row>
    <x:row r="739">
      <x:c r="A739" s="43"/>
      <x:c r="B739" s="43"/>
      <x:c r="C739" s="43"/>
      <x:c r="D739" s="43" t="str">
        <x:f>IF(C739="","",YEAR(C739))</x:f>
      </x:c>
      <x:c r="E739" s="43" t="str">
        <x:f>IF(C739="","",MONTH(C739))</x:f>
      </x:c>
      <x:c r="F739" s="43" t="str">
        <x:f>IF(C739="","",WEEKNUM(C739,21))</x:f>
      </x:c>
      <x:c r="G739" s="43" t="str">
        <x:f>IF(C739="","",CHOOSE(WEEKDAY(C739,2),"Lundi","Mardi","Mercredi","Jeudi","Vendredi","Samedi","Dimanche"))</x:f>
      </x:c>
      <x:c r="H739" s="43"/>
      <x:c r="I739" s="43"/>
      <x:c r="J739" s="43"/>
      <x:c r="K739" s="43"/>
      <x:c r="L739" s="43"/>
      <x:c r="M739" s="43"/>
      <x:c r="N739" s="43"/>
      <x:c r="O739" s="43"/>
      <x:c r="P739" s="43"/>
      <x:c r="Q739" s="43"/>
      <x:c r="R739" s="43"/>
      <x:c r="S739" s="43"/>
      <x:c r="T739" s="43"/>
      <x:c r="U739" s="43"/>
      <x:c r="V739" s="43"/>
      <x:c r="W739" s="43"/>
      <x:c r="X739" s="43"/>
      <x:c r="Y739" s="43"/>
      <x:c r="Z739" s="43"/>
      <x:c r="AA739" s="43"/>
      <x:c r="AB739" s="43"/>
      <x:c r="AC739" s="43"/>
      <x:c r="AD739" s="43"/>
      <x:c r="AE739" s="43"/>
      <x:c r="AF739" s="43"/>
      <x:c r="AG739" s="67"/>
      <x:c r="AH739" s="43"/>
      <x:c r="AI739" s="43"/>
    </x:row>
    <x:row r="740">
      <x:c r="A740" s="43"/>
      <x:c r="B740" s="43"/>
      <x:c r="C740" s="43"/>
      <x:c r="D740" s="43" t="str">
        <x:f>IF(C740="","",YEAR(C740))</x:f>
      </x:c>
      <x:c r="E740" s="43" t="str">
        <x:f>IF(C740="","",MONTH(C740))</x:f>
      </x:c>
      <x:c r="F740" s="43" t="str">
        <x:f>IF(C740="","",WEEKNUM(C740,21))</x:f>
      </x:c>
      <x:c r="G740" s="43" t="str">
        <x:f>IF(C740="","",CHOOSE(WEEKDAY(C740,2),"Lundi","Mardi","Mercredi","Jeudi","Vendredi","Samedi","Dimanche"))</x:f>
      </x:c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  <x:c r="AA740" s="43"/>
      <x:c r="AB740" s="43"/>
      <x:c r="AC740" s="43"/>
      <x:c r="AD740" s="43"/>
      <x:c r="AE740" s="43"/>
      <x:c r="AF740" s="43"/>
      <x:c r="AG740" s="67"/>
      <x:c r="AH740" s="43"/>
      <x:c r="AI740" s="43"/>
    </x:row>
    <x:row r="741">
      <x:c r="A741" s="43"/>
      <x:c r="B741" s="43"/>
      <x:c r="C741" s="43"/>
      <x:c r="D741" s="43" t="str">
        <x:f>IF(C741="","",YEAR(C741))</x:f>
      </x:c>
      <x:c r="E741" s="43" t="str">
        <x:f>IF(C741="","",MONTH(C741))</x:f>
      </x:c>
      <x:c r="F741" s="43" t="str">
        <x:f>IF(C741="","",WEEKNUM(C741,21))</x:f>
      </x:c>
      <x:c r="G741" s="43" t="str">
        <x:f>IF(C741="","",CHOOSE(WEEKDAY(C741,2),"Lundi","Mardi","Mercredi","Jeudi","Vendredi","Samedi","Dimanche"))</x:f>
      </x:c>
      <x:c r="H741" s="43"/>
      <x:c r="I741" s="43"/>
      <x:c r="J741" s="43"/>
      <x:c r="K741" s="43"/>
      <x:c r="L741" s="43"/>
      <x:c r="M741" s="43"/>
      <x:c r="N741" s="43"/>
      <x:c r="O741" s="43"/>
      <x:c r="P741" s="43"/>
      <x:c r="Q741" s="43"/>
      <x:c r="R741" s="43"/>
      <x:c r="S741" s="43"/>
      <x:c r="T741" s="43"/>
      <x:c r="U741" s="43"/>
      <x:c r="V741" s="43"/>
      <x:c r="W741" s="43"/>
      <x:c r="X741" s="43"/>
      <x:c r="Y741" s="43"/>
      <x:c r="Z741" s="43"/>
      <x:c r="AA741" s="43"/>
      <x:c r="AB741" s="43"/>
      <x:c r="AC741" s="43"/>
      <x:c r="AD741" s="43"/>
      <x:c r="AE741" s="43"/>
      <x:c r="AF741" s="43"/>
      <x:c r="AG741" s="67"/>
      <x:c r="AH741" s="43"/>
      <x:c r="AI741" s="43"/>
    </x:row>
    <x:row r="742">
      <x:c r="A742" s="43"/>
      <x:c r="B742" s="43"/>
      <x:c r="C742" s="43"/>
      <x:c r="D742" s="43" t="str">
        <x:f>IF(C742="","",YEAR(C742))</x:f>
      </x:c>
      <x:c r="E742" s="43" t="str">
        <x:f>IF(C742="","",MONTH(C742))</x:f>
      </x:c>
      <x:c r="F742" s="43" t="str">
        <x:f>IF(C742="","",WEEKNUM(C742,21))</x:f>
      </x:c>
      <x:c r="G742" s="43" t="str">
        <x:f>IF(C742="","",CHOOSE(WEEKDAY(C742,2),"Lundi","Mardi","Mercredi","Jeudi","Vendredi","Samedi","Dimanche"))</x:f>
      </x:c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  <x:c r="AA742" s="43"/>
      <x:c r="AB742" s="43"/>
      <x:c r="AC742" s="43"/>
      <x:c r="AD742" s="43"/>
      <x:c r="AE742" s="43"/>
      <x:c r="AF742" s="43"/>
      <x:c r="AG742" s="67"/>
      <x:c r="AH742" s="43"/>
      <x:c r="AI742" s="43"/>
    </x:row>
    <x:row r="743">
      <x:c r="A743" s="43"/>
      <x:c r="B743" s="43"/>
      <x:c r="C743" s="43"/>
      <x:c r="D743" s="43" t="str">
        <x:f>IF(C743="","",YEAR(C743))</x:f>
      </x:c>
      <x:c r="E743" s="43" t="str">
        <x:f>IF(C743="","",MONTH(C743))</x:f>
      </x:c>
      <x:c r="F743" s="43" t="str">
        <x:f>IF(C743="","",WEEKNUM(C743,21))</x:f>
      </x:c>
      <x:c r="G743" s="43" t="str">
        <x:f>IF(C743="","",CHOOSE(WEEKDAY(C743,2),"Lundi","Mardi","Mercredi","Jeudi","Vendredi","Samedi","Dimanche"))</x:f>
      </x:c>
      <x:c r="H743" s="43"/>
      <x:c r="I743" s="43"/>
      <x:c r="J743" s="43"/>
      <x:c r="K743" s="43"/>
      <x:c r="L743" s="43"/>
      <x:c r="M743" s="43"/>
      <x:c r="N743" s="43"/>
      <x:c r="O743" s="43"/>
      <x:c r="P743" s="43"/>
      <x:c r="Q743" s="43"/>
      <x:c r="R743" s="43"/>
      <x:c r="S743" s="43"/>
      <x:c r="T743" s="43"/>
      <x:c r="U743" s="43"/>
      <x:c r="V743" s="43"/>
      <x:c r="W743" s="43"/>
      <x:c r="X743" s="43"/>
      <x:c r="Y743" s="43"/>
      <x:c r="Z743" s="43"/>
      <x:c r="AA743" s="43"/>
      <x:c r="AB743" s="43"/>
      <x:c r="AC743" s="43"/>
      <x:c r="AD743" s="43"/>
      <x:c r="AE743" s="43"/>
      <x:c r="AF743" s="43"/>
      <x:c r="AG743" s="67"/>
      <x:c r="AH743" s="43"/>
      <x:c r="AI743" s="43"/>
    </x:row>
    <x:row r="744">
      <x:c r="A744" s="43"/>
      <x:c r="B744" s="43"/>
      <x:c r="C744" s="43"/>
      <x:c r="D744" s="43" t="str">
        <x:f>IF(C744="","",YEAR(C744))</x:f>
      </x:c>
      <x:c r="E744" s="43" t="str">
        <x:f>IF(C744="","",MONTH(C744))</x:f>
      </x:c>
      <x:c r="F744" s="43" t="str">
        <x:f>IF(C744="","",WEEKNUM(C744,21))</x:f>
      </x:c>
      <x:c r="G744" s="43" t="str">
        <x:f>IF(C744="","",CHOOSE(WEEKDAY(C744,2),"Lundi","Mardi","Mercredi","Jeudi","Vendredi","Samedi","Dimanche"))</x:f>
      </x:c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  <x:c r="AA744" s="43"/>
      <x:c r="AB744" s="43"/>
      <x:c r="AC744" s="43"/>
      <x:c r="AD744" s="43"/>
      <x:c r="AE744" s="43"/>
      <x:c r="AF744" s="43"/>
      <x:c r="AG744" s="67"/>
      <x:c r="AH744" s="43"/>
      <x:c r="AI744" s="43"/>
    </x:row>
    <x:row r="745">
      <x:c r="A745" s="43"/>
      <x:c r="B745" s="43"/>
      <x:c r="C745" s="43"/>
      <x:c r="D745" s="43" t="str">
        <x:f>IF(C745="","",YEAR(C745))</x:f>
      </x:c>
      <x:c r="E745" s="43" t="str">
        <x:f>IF(C745="","",MONTH(C745))</x:f>
      </x:c>
      <x:c r="F745" s="43" t="str">
        <x:f>IF(C745="","",WEEKNUM(C745,21))</x:f>
      </x:c>
      <x:c r="G745" s="43" t="str">
        <x:f>IF(C745="","",CHOOSE(WEEKDAY(C745,2),"Lundi","Mardi","Mercredi","Jeudi","Vendredi","Samedi","Dimanche"))</x:f>
      </x:c>
      <x:c r="H745" s="43"/>
      <x:c r="I745" s="43"/>
      <x:c r="J745" s="43"/>
      <x:c r="K745" s="43"/>
      <x:c r="L745" s="43"/>
      <x:c r="M745" s="43"/>
      <x:c r="N745" s="43"/>
      <x:c r="O745" s="43"/>
      <x:c r="P745" s="43"/>
      <x:c r="Q745" s="43"/>
      <x:c r="R745" s="43"/>
      <x:c r="S745" s="43"/>
      <x:c r="T745" s="43"/>
      <x:c r="U745" s="43"/>
      <x:c r="V745" s="43"/>
      <x:c r="W745" s="43"/>
      <x:c r="X745" s="43"/>
      <x:c r="Y745" s="43"/>
      <x:c r="Z745" s="43"/>
      <x:c r="AA745" s="43"/>
      <x:c r="AB745" s="43"/>
      <x:c r="AC745" s="43"/>
      <x:c r="AD745" s="43"/>
      <x:c r="AE745" s="43"/>
      <x:c r="AF745" s="43"/>
      <x:c r="AG745" s="67"/>
      <x:c r="AH745" s="43"/>
      <x:c r="AI745" s="43"/>
    </x:row>
    <x:row r="746">
      <x:c r="A746" s="43"/>
      <x:c r="B746" s="43"/>
      <x:c r="C746" s="43"/>
      <x:c r="D746" s="43" t="str">
        <x:f>IF(C746="","",YEAR(C746))</x:f>
      </x:c>
      <x:c r="E746" s="43" t="str">
        <x:f>IF(C746="","",MONTH(C746))</x:f>
      </x:c>
      <x:c r="F746" s="43" t="str">
        <x:f>IF(C746="","",WEEKNUM(C746,21))</x:f>
      </x:c>
      <x:c r="G746" s="43" t="str">
        <x:f>IF(C746="","",CHOOSE(WEEKDAY(C746,2),"Lundi","Mardi","Mercredi","Jeudi","Vendredi","Samedi","Dimanche"))</x:f>
      </x:c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  <x:c r="AA746" s="43"/>
      <x:c r="AB746" s="43"/>
      <x:c r="AC746" s="43"/>
      <x:c r="AD746" s="43"/>
      <x:c r="AE746" s="43"/>
      <x:c r="AF746" s="43"/>
      <x:c r="AG746" s="67"/>
      <x:c r="AH746" s="43"/>
      <x:c r="AI746" s="43"/>
    </x:row>
    <x:row r="747">
      <x:c r="A747" s="43"/>
      <x:c r="B747" s="43"/>
      <x:c r="C747" s="43"/>
      <x:c r="D747" s="43" t="str">
        <x:f>IF(C747="","",YEAR(C747))</x:f>
      </x:c>
      <x:c r="E747" s="43" t="str">
        <x:f>IF(C747="","",MONTH(C747))</x:f>
      </x:c>
      <x:c r="F747" s="43" t="str">
        <x:f>IF(C747="","",WEEKNUM(C747,21))</x:f>
      </x:c>
      <x:c r="G747" s="43" t="str">
        <x:f>IF(C747="","",CHOOSE(WEEKDAY(C747,2),"Lundi","Mardi","Mercredi","Jeudi","Vendredi","Samedi","Dimanche"))</x:f>
      </x:c>
      <x:c r="H747" s="43"/>
      <x:c r="I747" s="43"/>
      <x:c r="J747" s="43"/>
      <x:c r="K747" s="43"/>
      <x:c r="L747" s="43"/>
      <x:c r="M747" s="43"/>
      <x:c r="N747" s="43"/>
      <x:c r="O747" s="43"/>
      <x:c r="P747" s="43"/>
      <x:c r="Q747" s="43"/>
      <x:c r="R747" s="43"/>
      <x:c r="S747" s="43"/>
      <x:c r="T747" s="43"/>
      <x:c r="U747" s="43"/>
      <x:c r="V747" s="43"/>
      <x:c r="W747" s="43"/>
      <x:c r="X747" s="43"/>
      <x:c r="Y747" s="43"/>
      <x:c r="Z747" s="43"/>
      <x:c r="AA747" s="43"/>
      <x:c r="AB747" s="43"/>
      <x:c r="AC747" s="43"/>
      <x:c r="AD747" s="43"/>
      <x:c r="AE747" s="43"/>
      <x:c r="AF747" s="43"/>
      <x:c r="AG747" s="67"/>
      <x:c r="AH747" s="43"/>
      <x:c r="AI747" s="43"/>
    </x:row>
    <x:row r="748">
      <x:c r="A748" s="43"/>
      <x:c r="B748" s="43"/>
      <x:c r="C748" s="43"/>
      <x:c r="D748" s="43" t="str">
        <x:f>IF(C748="","",YEAR(C748))</x:f>
      </x:c>
      <x:c r="E748" s="43" t="str">
        <x:f>IF(C748="","",MONTH(C748))</x:f>
      </x:c>
      <x:c r="F748" s="43" t="str">
        <x:f>IF(C748="","",WEEKNUM(C748,21))</x:f>
      </x:c>
      <x:c r="G748" s="43" t="str">
        <x:f>IF(C748="","",CHOOSE(WEEKDAY(C748,2),"Lundi","Mardi","Mercredi","Jeudi","Vendredi","Samedi","Dimanche"))</x:f>
      </x:c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  <x:c r="AA748" s="43"/>
      <x:c r="AB748" s="43"/>
      <x:c r="AC748" s="43"/>
      <x:c r="AD748" s="43"/>
      <x:c r="AE748" s="43"/>
      <x:c r="AF748" s="43"/>
      <x:c r="AG748" s="67"/>
      <x:c r="AH748" s="43"/>
      <x:c r="AI748" s="43"/>
    </x:row>
    <x:row r="749">
      <x:c r="A749" s="43"/>
      <x:c r="B749" s="43"/>
      <x:c r="C749" s="43"/>
      <x:c r="D749" s="43" t="str">
        <x:f>IF(C749="","",YEAR(C749))</x:f>
      </x:c>
      <x:c r="E749" s="43" t="str">
        <x:f>IF(C749="","",MONTH(C749))</x:f>
      </x:c>
      <x:c r="F749" s="43" t="str">
        <x:f>IF(C749="","",WEEKNUM(C749,21))</x:f>
      </x:c>
      <x:c r="G749" s="43" t="str">
        <x:f>IF(C749="","",CHOOSE(WEEKDAY(C749,2),"Lundi","Mardi","Mercredi","Jeudi","Vendredi","Samedi","Dimanche"))</x:f>
      </x:c>
      <x:c r="H749" s="43"/>
      <x:c r="I749" s="43"/>
      <x:c r="J749" s="43"/>
      <x:c r="K749" s="43"/>
      <x:c r="L749" s="43"/>
      <x:c r="M749" s="43"/>
      <x:c r="N749" s="43"/>
      <x:c r="O749" s="43"/>
      <x:c r="P749" s="43"/>
      <x:c r="Q749" s="43"/>
      <x:c r="R749" s="43"/>
      <x:c r="S749" s="43"/>
      <x:c r="T749" s="43"/>
      <x:c r="U749" s="43"/>
      <x:c r="V749" s="43"/>
      <x:c r="W749" s="43"/>
      <x:c r="X749" s="43"/>
      <x:c r="Y749" s="43"/>
      <x:c r="Z749" s="43"/>
      <x:c r="AA749" s="43"/>
      <x:c r="AB749" s="43"/>
      <x:c r="AC749" s="43"/>
      <x:c r="AD749" s="43"/>
      <x:c r="AE749" s="43"/>
      <x:c r="AF749" s="43"/>
      <x:c r="AG749" s="67"/>
      <x:c r="AH749" s="43"/>
      <x:c r="AI749" s="43"/>
    </x:row>
    <x:row r="750">
      <x:c r="A750" s="43"/>
      <x:c r="B750" s="43"/>
      <x:c r="C750" s="43"/>
      <x:c r="D750" s="43" t="str">
        <x:f>IF(C750="","",YEAR(C750))</x:f>
      </x:c>
      <x:c r="E750" s="43" t="str">
        <x:f>IF(C750="","",MONTH(C750))</x:f>
      </x:c>
      <x:c r="F750" s="43" t="str">
        <x:f>IF(C750="","",WEEKNUM(C750,21))</x:f>
      </x:c>
      <x:c r="G750" s="43" t="str">
        <x:f>IF(C750="","",CHOOSE(WEEKDAY(C750,2),"Lundi","Mardi","Mercredi","Jeudi","Vendredi","Samedi","Dimanche"))</x:f>
      </x:c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  <x:c r="AA750" s="43"/>
      <x:c r="AB750" s="43"/>
      <x:c r="AC750" s="43"/>
      <x:c r="AD750" s="43"/>
      <x:c r="AE750" s="43"/>
      <x:c r="AF750" s="43"/>
      <x:c r="AG750" s="67"/>
      <x:c r="AH750" s="43"/>
      <x:c r="AI750" s="43"/>
    </x:row>
    <x:row r="751">
      <x:c r="A751" s="43"/>
      <x:c r="B751" s="43"/>
      <x:c r="C751" s="43"/>
      <x:c r="D751" s="43" t="str">
        <x:f>IF(C751="","",YEAR(C751))</x:f>
      </x:c>
      <x:c r="E751" s="43" t="str">
        <x:f>IF(C751="","",MONTH(C751))</x:f>
      </x:c>
      <x:c r="F751" s="43" t="str">
        <x:f>IF(C751="","",WEEKNUM(C751,21))</x:f>
      </x:c>
      <x:c r="G751" s="43" t="str">
        <x:f>IF(C751="","",CHOOSE(WEEKDAY(C751,2),"Lundi","Mardi","Mercredi","Jeudi","Vendredi","Samedi","Dimanche"))</x:f>
      </x:c>
      <x:c r="H751" s="43"/>
      <x:c r="I751" s="43"/>
      <x:c r="J751" s="43"/>
      <x:c r="K751" s="43"/>
      <x:c r="L751" s="43"/>
      <x:c r="M751" s="43"/>
      <x:c r="N751" s="43"/>
      <x:c r="O751" s="43"/>
      <x:c r="P751" s="43"/>
      <x:c r="Q751" s="43"/>
      <x:c r="R751" s="43"/>
      <x:c r="S751" s="43"/>
      <x:c r="T751" s="43"/>
      <x:c r="U751" s="43"/>
      <x:c r="V751" s="43"/>
      <x:c r="W751" s="43"/>
      <x:c r="X751" s="43"/>
      <x:c r="Y751" s="43"/>
      <x:c r="Z751" s="43"/>
      <x:c r="AA751" s="43"/>
      <x:c r="AB751" s="43"/>
      <x:c r="AC751" s="43"/>
      <x:c r="AD751" s="43"/>
      <x:c r="AE751" s="43"/>
      <x:c r="AF751" s="43"/>
      <x:c r="AG751" s="67"/>
      <x:c r="AH751" s="43"/>
      <x:c r="AI751" s="43"/>
    </x:row>
    <x:row r="752">
      <x:c r="A752" s="43"/>
      <x:c r="B752" s="43"/>
      <x:c r="C752" s="43"/>
      <x:c r="D752" s="43" t="str">
        <x:f>IF(C752="","",YEAR(C752))</x:f>
      </x:c>
      <x:c r="E752" s="43" t="str">
        <x:f>IF(C752="","",MONTH(C752))</x:f>
      </x:c>
      <x:c r="F752" s="43" t="str">
        <x:f>IF(C752="","",WEEKNUM(C752,21))</x:f>
      </x:c>
      <x:c r="G752" s="43" t="str">
        <x:f>IF(C752="","",CHOOSE(WEEKDAY(C752,2),"Lundi","Mardi","Mercredi","Jeudi","Vendredi","Samedi","Dimanche"))</x:f>
      </x:c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  <x:c r="AA752" s="43"/>
      <x:c r="AB752" s="43"/>
      <x:c r="AC752" s="43"/>
      <x:c r="AD752" s="43"/>
      <x:c r="AE752" s="43"/>
      <x:c r="AF752" s="43"/>
      <x:c r="AG752" s="67"/>
      <x:c r="AH752" s="43"/>
      <x:c r="AI752" s="43"/>
    </x:row>
    <x:row r="753">
      <x:c r="A753" s="43"/>
      <x:c r="B753" s="43"/>
      <x:c r="C753" s="43"/>
      <x:c r="D753" s="43" t="str">
        <x:f>IF(C753="","",YEAR(C753))</x:f>
      </x:c>
      <x:c r="E753" s="43" t="str">
        <x:f>IF(C753="","",MONTH(C753))</x:f>
      </x:c>
      <x:c r="F753" s="43" t="str">
        <x:f>IF(C753="","",WEEKNUM(C753,21))</x:f>
      </x:c>
      <x:c r="G753" s="43" t="str">
        <x:f>IF(C753="","",CHOOSE(WEEKDAY(C753,2),"Lundi","Mardi","Mercredi","Jeudi","Vendredi","Samedi","Dimanche"))</x:f>
      </x:c>
      <x:c r="H753" s="43"/>
      <x:c r="I753" s="43"/>
      <x:c r="J753" s="43"/>
      <x:c r="K753" s="43"/>
      <x:c r="L753" s="43"/>
      <x:c r="M753" s="43"/>
      <x:c r="N753" s="43"/>
      <x:c r="O753" s="43"/>
      <x:c r="P753" s="43"/>
      <x:c r="Q753" s="43"/>
      <x:c r="R753" s="43"/>
      <x:c r="S753" s="43"/>
      <x:c r="T753" s="43"/>
      <x:c r="U753" s="43"/>
      <x:c r="V753" s="43"/>
      <x:c r="W753" s="43"/>
      <x:c r="X753" s="43"/>
      <x:c r="Y753" s="43"/>
      <x:c r="Z753" s="43"/>
      <x:c r="AA753" s="43"/>
      <x:c r="AB753" s="43"/>
      <x:c r="AC753" s="43"/>
      <x:c r="AD753" s="43"/>
      <x:c r="AE753" s="43"/>
      <x:c r="AF753" s="43"/>
      <x:c r="AG753" s="67"/>
      <x:c r="AH753" s="43"/>
      <x:c r="AI753" s="43"/>
    </x:row>
    <x:row r="754">
      <x:c r="A754" s="43"/>
      <x:c r="B754" s="43"/>
      <x:c r="C754" s="43"/>
      <x:c r="D754" s="43" t="str">
        <x:f>IF(C754="","",YEAR(C754))</x:f>
      </x:c>
      <x:c r="E754" s="43" t="str">
        <x:f>IF(C754="","",MONTH(C754))</x:f>
      </x:c>
      <x:c r="F754" s="43" t="str">
        <x:f>IF(C754="","",WEEKNUM(C754,21))</x:f>
      </x:c>
      <x:c r="G754" s="43" t="str">
        <x:f>IF(C754="","",CHOOSE(WEEKDAY(C754,2),"Lundi","Mardi","Mercredi","Jeudi","Vendredi","Samedi","Dimanche"))</x:f>
      </x:c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  <x:c r="AA754" s="43"/>
      <x:c r="AB754" s="43"/>
      <x:c r="AC754" s="43"/>
      <x:c r="AD754" s="43"/>
      <x:c r="AE754" s="43"/>
      <x:c r="AF754" s="43"/>
      <x:c r="AG754" s="67"/>
      <x:c r="AH754" s="43"/>
      <x:c r="AI754" s="43"/>
    </x:row>
    <x:row r="755">
      <x:c r="A755" s="43"/>
      <x:c r="B755" s="43"/>
      <x:c r="C755" s="43"/>
      <x:c r="D755" s="43" t="str">
        <x:f>IF(C755="","",YEAR(C755))</x:f>
      </x:c>
      <x:c r="E755" s="43" t="str">
        <x:f>IF(C755="","",MONTH(C755))</x:f>
      </x:c>
      <x:c r="F755" s="43" t="str">
        <x:f>IF(C755="","",WEEKNUM(C755,21))</x:f>
      </x:c>
      <x:c r="G755" s="43" t="str">
        <x:f>IF(C755="","",CHOOSE(WEEKDAY(C755,2),"Lundi","Mardi","Mercredi","Jeudi","Vendredi","Samedi","Dimanche"))</x:f>
      </x:c>
      <x:c r="H755" s="43"/>
      <x:c r="I755" s="43"/>
      <x:c r="J755" s="43"/>
      <x:c r="K755" s="43"/>
      <x:c r="L755" s="43"/>
      <x:c r="M755" s="43"/>
      <x:c r="N755" s="43"/>
      <x:c r="O755" s="43"/>
      <x:c r="P755" s="43"/>
      <x:c r="Q755" s="43"/>
      <x:c r="R755" s="43"/>
      <x:c r="S755" s="43"/>
      <x:c r="T755" s="43"/>
      <x:c r="U755" s="43"/>
      <x:c r="V755" s="43"/>
      <x:c r="W755" s="43"/>
      <x:c r="X755" s="43"/>
      <x:c r="Y755" s="43"/>
      <x:c r="Z755" s="43"/>
      <x:c r="AA755" s="43"/>
      <x:c r="AB755" s="43"/>
      <x:c r="AC755" s="43"/>
      <x:c r="AD755" s="43"/>
      <x:c r="AE755" s="43"/>
      <x:c r="AF755" s="43"/>
      <x:c r="AG755" s="67"/>
      <x:c r="AH755" s="43"/>
      <x:c r="AI755" s="43"/>
    </x:row>
    <x:row r="756">
      <x:c r="A756" s="43"/>
      <x:c r="B756" s="43"/>
      <x:c r="C756" s="43"/>
      <x:c r="D756" s="43" t="str">
        <x:f>IF(C756="","",YEAR(C756))</x:f>
      </x:c>
      <x:c r="E756" s="43" t="str">
        <x:f>IF(C756="","",MONTH(C756))</x:f>
      </x:c>
      <x:c r="F756" s="43" t="str">
        <x:f>IF(C756="","",WEEKNUM(C756,21))</x:f>
      </x:c>
      <x:c r="G756" s="43" t="str">
        <x:f>IF(C756="","",CHOOSE(WEEKDAY(C756,2),"Lundi","Mardi","Mercredi","Jeudi","Vendredi","Samedi","Dimanche"))</x:f>
      </x:c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  <x:c r="AA756" s="43"/>
      <x:c r="AB756" s="43"/>
      <x:c r="AC756" s="43"/>
      <x:c r="AD756" s="43"/>
      <x:c r="AE756" s="43"/>
      <x:c r="AF756" s="43"/>
      <x:c r="AG756" s="67"/>
      <x:c r="AH756" s="43"/>
      <x:c r="AI756" s="43"/>
    </x:row>
    <x:row r="757">
      <x:c r="A757" s="43"/>
      <x:c r="B757" s="43"/>
      <x:c r="C757" s="43"/>
      <x:c r="D757" s="43" t="str">
        <x:f>IF(C757="","",YEAR(C757))</x:f>
      </x:c>
      <x:c r="E757" s="43" t="str">
        <x:f>IF(C757="","",MONTH(C757))</x:f>
      </x:c>
      <x:c r="F757" s="43" t="str">
        <x:f>IF(C757="","",WEEKNUM(C757,21))</x:f>
      </x:c>
      <x:c r="G757" s="43" t="str">
        <x:f>IF(C757="","",CHOOSE(WEEKDAY(C757,2),"Lundi","Mardi","Mercredi","Jeudi","Vendredi","Samedi","Dimanche"))</x:f>
      </x:c>
      <x:c r="H757" s="43"/>
      <x:c r="I757" s="43"/>
      <x:c r="J757" s="43"/>
      <x:c r="K757" s="43"/>
      <x:c r="L757" s="43"/>
      <x:c r="M757" s="43"/>
      <x:c r="N757" s="43"/>
      <x:c r="O757" s="43"/>
      <x:c r="P757" s="43"/>
      <x:c r="Q757" s="43"/>
      <x:c r="R757" s="43"/>
      <x:c r="S757" s="43"/>
      <x:c r="T757" s="43"/>
      <x:c r="U757" s="43"/>
      <x:c r="V757" s="43"/>
      <x:c r="W757" s="43"/>
      <x:c r="X757" s="43"/>
      <x:c r="Y757" s="43"/>
      <x:c r="Z757" s="43"/>
      <x:c r="AA757" s="43"/>
      <x:c r="AB757" s="43"/>
      <x:c r="AC757" s="43"/>
      <x:c r="AD757" s="43"/>
      <x:c r="AE757" s="43"/>
      <x:c r="AF757" s="43"/>
      <x:c r="AG757" s="67"/>
      <x:c r="AH757" s="43"/>
      <x:c r="AI757" s="43"/>
    </x:row>
    <x:row r="758">
      <x:c r="A758" s="43"/>
      <x:c r="B758" s="43"/>
      <x:c r="C758" s="43"/>
      <x:c r="D758" s="43" t="str">
        <x:f>IF(C758="","",YEAR(C758))</x:f>
      </x:c>
      <x:c r="E758" s="43" t="str">
        <x:f>IF(C758="","",MONTH(C758))</x:f>
      </x:c>
      <x:c r="F758" s="43" t="str">
        <x:f>IF(C758="","",WEEKNUM(C758,21))</x:f>
      </x:c>
      <x:c r="G758" s="43" t="str">
        <x:f>IF(C758="","",CHOOSE(WEEKDAY(C758,2),"Lundi","Mardi","Mercredi","Jeudi","Vendredi","Samedi","Dimanche"))</x:f>
      </x:c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  <x:c r="AA758" s="43"/>
      <x:c r="AB758" s="43"/>
      <x:c r="AC758" s="43"/>
      <x:c r="AD758" s="43"/>
      <x:c r="AE758" s="43"/>
      <x:c r="AF758" s="43"/>
      <x:c r="AG758" s="67"/>
      <x:c r="AH758" s="43"/>
      <x:c r="AI758" s="43"/>
    </x:row>
    <x:row r="759">
      <x:c r="A759" s="43"/>
      <x:c r="B759" s="43"/>
      <x:c r="C759" s="43"/>
      <x:c r="D759" s="43" t="str">
        <x:f>IF(C759="","",YEAR(C759))</x:f>
      </x:c>
      <x:c r="E759" s="43" t="str">
        <x:f>IF(C759="","",MONTH(C759))</x:f>
      </x:c>
      <x:c r="F759" s="43" t="str">
        <x:f>IF(C759="","",WEEKNUM(C759,21))</x:f>
      </x:c>
      <x:c r="G759" s="43" t="str">
        <x:f>IF(C759="","",CHOOSE(WEEKDAY(C759,2),"Lundi","Mardi","Mercredi","Jeudi","Vendredi","Samedi","Dimanche"))</x:f>
      </x:c>
      <x:c r="H759" s="43"/>
      <x:c r="I759" s="43"/>
      <x:c r="J759" s="43"/>
      <x:c r="K759" s="43"/>
      <x:c r="L759" s="43"/>
      <x:c r="M759" s="43"/>
      <x:c r="N759" s="43"/>
      <x:c r="O759" s="43"/>
      <x:c r="P759" s="43"/>
      <x:c r="Q759" s="43"/>
      <x:c r="R759" s="43"/>
      <x:c r="S759" s="43"/>
      <x:c r="T759" s="43"/>
      <x:c r="U759" s="43"/>
      <x:c r="V759" s="43"/>
      <x:c r="W759" s="43"/>
      <x:c r="X759" s="43"/>
      <x:c r="Y759" s="43"/>
      <x:c r="Z759" s="43"/>
      <x:c r="AA759" s="43"/>
      <x:c r="AB759" s="43"/>
      <x:c r="AC759" s="43"/>
      <x:c r="AD759" s="43"/>
      <x:c r="AE759" s="43"/>
      <x:c r="AF759" s="43"/>
      <x:c r="AG759" s="67"/>
      <x:c r="AH759" s="43"/>
      <x:c r="AI759" s="43"/>
    </x:row>
    <x:row r="760">
      <x:c r="A760" s="43"/>
      <x:c r="B760" s="43"/>
      <x:c r="C760" s="43"/>
      <x:c r="D760" s="43" t="str">
        <x:f>IF(C760="","",YEAR(C760))</x:f>
      </x:c>
      <x:c r="E760" s="43" t="str">
        <x:f>IF(C760="","",MONTH(C760))</x:f>
      </x:c>
      <x:c r="F760" s="43" t="str">
        <x:f>IF(C760="","",WEEKNUM(C760,21))</x:f>
      </x:c>
      <x:c r="G760" s="43" t="str">
        <x:f>IF(C760="","",CHOOSE(WEEKDAY(C760,2),"Lundi","Mardi","Mercredi","Jeudi","Vendredi","Samedi","Dimanche"))</x:f>
      </x:c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  <x:c r="AA760" s="43"/>
      <x:c r="AB760" s="43"/>
      <x:c r="AC760" s="43"/>
      <x:c r="AD760" s="43"/>
      <x:c r="AE760" s="43"/>
      <x:c r="AF760" s="43"/>
      <x:c r="AG760" s="67"/>
      <x:c r="AH760" s="43"/>
      <x:c r="AI760" s="43"/>
    </x:row>
    <x:row r="761">
      <x:c r="A761" s="43"/>
      <x:c r="B761" s="43"/>
      <x:c r="C761" s="43"/>
      <x:c r="D761" s="43" t="str">
        <x:f>IF(C761="","",YEAR(C761))</x:f>
      </x:c>
      <x:c r="E761" s="43" t="str">
        <x:f>IF(C761="","",MONTH(C761))</x:f>
      </x:c>
      <x:c r="F761" s="43" t="str">
        <x:f>IF(C761="","",WEEKNUM(C761,21))</x:f>
      </x:c>
      <x:c r="G761" s="43" t="str">
        <x:f>IF(C761="","",CHOOSE(WEEKDAY(C761,2),"Lundi","Mardi","Mercredi","Jeudi","Vendredi","Samedi","Dimanche"))</x:f>
      </x:c>
      <x:c r="H761" s="43"/>
      <x:c r="I761" s="43"/>
      <x:c r="J761" s="43"/>
      <x:c r="K761" s="43"/>
      <x:c r="L761" s="43"/>
      <x:c r="M761" s="43"/>
      <x:c r="N761" s="43"/>
      <x:c r="O761" s="43"/>
      <x:c r="P761" s="43"/>
      <x:c r="Q761" s="43"/>
      <x:c r="R761" s="43"/>
      <x:c r="S761" s="43"/>
      <x:c r="T761" s="43"/>
      <x:c r="U761" s="43"/>
      <x:c r="V761" s="43"/>
      <x:c r="W761" s="43"/>
      <x:c r="X761" s="43"/>
      <x:c r="Y761" s="43"/>
      <x:c r="Z761" s="43"/>
      <x:c r="AA761" s="43"/>
      <x:c r="AB761" s="43"/>
      <x:c r="AC761" s="43"/>
      <x:c r="AD761" s="43"/>
      <x:c r="AE761" s="43"/>
      <x:c r="AF761" s="43"/>
      <x:c r="AG761" s="67"/>
      <x:c r="AH761" s="43"/>
      <x:c r="AI761" s="43"/>
    </x:row>
    <x:row r="762">
      <x:c r="A762" s="43"/>
      <x:c r="B762" s="43"/>
      <x:c r="C762" s="43"/>
      <x:c r="D762" s="43" t="str">
        <x:f>IF(C762="","",YEAR(C762))</x:f>
      </x:c>
      <x:c r="E762" s="43" t="str">
        <x:f>IF(C762="","",MONTH(C762))</x:f>
      </x:c>
      <x:c r="F762" s="43" t="str">
        <x:f>IF(C762="","",WEEKNUM(C762,21))</x:f>
      </x:c>
      <x:c r="G762" s="43" t="str">
        <x:f>IF(C762="","",CHOOSE(WEEKDAY(C762,2),"Lundi","Mardi","Mercredi","Jeudi","Vendredi","Samedi","Dimanche"))</x:f>
      </x:c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  <x:c r="AA762" s="43"/>
      <x:c r="AB762" s="43"/>
      <x:c r="AC762" s="43"/>
      <x:c r="AD762" s="43"/>
      <x:c r="AE762" s="43"/>
      <x:c r="AF762" s="43"/>
      <x:c r="AG762" s="67"/>
      <x:c r="AH762" s="43"/>
      <x:c r="AI762" s="43"/>
    </x:row>
    <x:row r="763">
      <x:c r="A763" s="43"/>
      <x:c r="B763" s="43"/>
      <x:c r="C763" s="43"/>
      <x:c r="D763" s="43" t="str">
        <x:f>IF(C763="","",YEAR(C763))</x:f>
      </x:c>
      <x:c r="E763" s="43" t="str">
        <x:f>IF(C763="","",MONTH(C763))</x:f>
      </x:c>
      <x:c r="F763" s="43" t="str">
        <x:f>IF(C763="","",WEEKNUM(C763,21))</x:f>
      </x:c>
      <x:c r="G763" s="43" t="str">
        <x:f>IF(C763="","",CHOOSE(WEEKDAY(C763,2),"Lundi","Mardi","Mercredi","Jeudi","Vendredi","Samedi","Dimanche"))</x:f>
      </x:c>
      <x:c r="H763" s="43"/>
      <x:c r="I763" s="43"/>
      <x:c r="J763" s="43"/>
      <x:c r="K763" s="43"/>
      <x:c r="L763" s="43"/>
      <x:c r="M763" s="43"/>
      <x:c r="N763" s="43"/>
      <x:c r="O763" s="43"/>
      <x:c r="P763" s="43"/>
      <x:c r="Q763" s="43"/>
      <x:c r="R763" s="43"/>
      <x:c r="S763" s="43"/>
      <x:c r="T763" s="43"/>
      <x:c r="U763" s="43"/>
      <x:c r="V763" s="43"/>
      <x:c r="W763" s="43"/>
      <x:c r="X763" s="43"/>
      <x:c r="Y763" s="43"/>
      <x:c r="Z763" s="43"/>
      <x:c r="AA763" s="43"/>
      <x:c r="AB763" s="43"/>
      <x:c r="AC763" s="43"/>
      <x:c r="AD763" s="43"/>
      <x:c r="AE763" s="43"/>
      <x:c r="AF763" s="43"/>
      <x:c r="AG763" s="67"/>
      <x:c r="AH763" s="43"/>
      <x:c r="AI763" s="43"/>
    </x:row>
    <x:row r="764">
      <x:c r="A764" s="43"/>
      <x:c r="B764" s="43"/>
      <x:c r="C764" s="43"/>
      <x:c r="D764" s="43" t="str">
        <x:f>IF(C764="","",YEAR(C764))</x:f>
      </x:c>
      <x:c r="E764" s="43" t="str">
        <x:f>IF(C764="","",MONTH(C764))</x:f>
      </x:c>
      <x:c r="F764" s="43" t="str">
        <x:f>IF(C764="","",WEEKNUM(C764,21))</x:f>
      </x:c>
      <x:c r="G764" s="43" t="str">
        <x:f>IF(C764="","",CHOOSE(WEEKDAY(C764,2),"Lundi","Mardi","Mercredi","Jeudi","Vendredi","Samedi","Dimanche"))</x:f>
      </x:c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  <x:c r="AA764" s="43"/>
      <x:c r="AB764" s="43"/>
      <x:c r="AC764" s="43"/>
      <x:c r="AD764" s="43"/>
      <x:c r="AE764" s="43"/>
      <x:c r="AF764" s="43"/>
      <x:c r="AG764" s="67"/>
      <x:c r="AH764" s="43"/>
      <x:c r="AI764" s="43"/>
    </x:row>
    <x:row r="765">
      <x:c r="A765" s="43"/>
      <x:c r="B765" s="43"/>
      <x:c r="C765" s="43"/>
      <x:c r="D765" s="43" t="str">
        <x:f>IF(C765="","",YEAR(C765))</x:f>
      </x:c>
      <x:c r="E765" s="43" t="str">
        <x:f>IF(C765="","",MONTH(C765))</x:f>
      </x:c>
      <x:c r="F765" s="43" t="str">
        <x:f>IF(C765="","",WEEKNUM(C765,21))</x:f>
      </x:c>
      <x:c r="G765" s="43" t="str">
        <x:f>IF(C765="","",CHOOSE(WEEKDAY(C765,2),"Lundi","Mardi","Mercredi","Jeudi","Vendredi","Samedi","Dimanche"))</x:f>
      </x:c>
      <x:c r="H765" s="43"/>
      <x:c r="I765" s="43"/>
      <x:c r="J765" s="43"/>
      <x:c r="K765" s="43"/>
      <x:c r="L765" s="43"/>
      <x:c r="M765" s="43"/>
      <x:c r="N765" s="43"/>
      <x:c r="O765" s="43"/>
      <x:c r="P765" s="43"/>
      <x:c r="Q765" s="43"/>
      <x:c r="R765" s="43"/>
      <x:c r="S765" s="43"/>
      <x:c r="T765" s="43"/>
      <x:c r="U765" s="43"/>
      <x:c r="V765" s="43"/>
      <x:c r="W765" s="43"/>
      <x:c r="X765" s="43"/>
      <x:c r="Y765" s="43"/>
      <x:c r="Z765" s="43"/>
      <x:c r="AA765" s="43"/>
      <x:c r="AB765" s="43"/>
      <x:c r="AC765" s="43"/>
      <x:c r="AD765" s="43"/>
      <x:c r="AE765" s="43"/>
      <x:c r="AF765" s="43"/>
      <x:c r="AG765" s="67"/>
      <x:c r="AH765" s="43"/>
      <x:c r="AI765" s="43"/>
    </x:row>
    <x:row r="766">
      <x:c r="A766" s="43"/>
      <x:c r="B766" s="43"/>
      <x:c r="C766" s="43"/>
      <x:c r="D766" s="43" t="str">
        <x:f>IF(C766="","",YEAR(C766))</x:f>
      </x:c>
      <x:c r="E766" s="43" t="str">
        <x:f>IF(C766="","",MONTH(C766))</x:f>
      </x:c>
      <x:c r="F766" s="43" t="str">
        <x:f>IF(C766="","",WEEKNUM(C766,21))</x:f>
      </x:c>
      <x:c r="G766" s="43" t="str">
        <x:f>IF(C766="","",CHOOSE(WEEKDAY(C766,2),"Lundi","Mardi","Mercredi","Jeudi","Vendredi","Samedi","Dimanche"))</x:f>
      </x:c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  <x:c r="AA766" s="43"/>
      <x:c r="AB766" s="43"/>
      <x:c r="AC766" s="43"/>
      <x:c r="AD766" s="43"/>
      <x:c r="AE766" s="43"/>
      <x:c r="AF766" s="43"/>
      <x:c r="AG766" s="67"/>
      <x:c r="AH766" s="43"/>
      <x:c r="AI766" s="43"/>
    </x:row>
    <x:row r="767">
      <x:c r="A767" s="43"/>
      <x:c r="B767" s="43"/>
      <x:c r="C767" s="43"/>
      <x:c r="D767" s="43" t="str">
        <x:f>IF(C767="","",YEAR(C767))</x:f>
      </x:c>
      <x:c r="E767" s="43" t="str">
        <x:f>IF(C767="","",MONTH(C767))</x:f>
      </x:c>
      <x:c r="F767" s="43" t="str">
        <x:f>IF(C767="","",WEEKNUM(C767,21))</x:f>
      </x:c>
      <x:c r="G767" s="43" t="str">
        <x:f>IF(C767="","",CHOOSE(WEEKDAY(C767,2),"Lundi","Mardi","Mercredi","Jeudi","Vendredi","Samedi","Dimanche"))</x:f>
      </x:c>
      <x:c r="H767" s="43"/>
      <x:c r="I767" s="43"/>
      <x:c r="J767" s="43"/>
      <x:c r="K767" s="43"/>
      <x:c r="L767" s="43"/>
      <x:c r="M767" s="43"/>
      <x:c r="N767" s="43"/>
      <x:c r="O767" s="43"/>
      <x:c r="P767" s="43"/>
      <x:c r="Q767" s="43"/>
      <x:c r="R767" s="43"/>
      <x:c r="S767" s="43"/>
      <x:c r="T767" s="43"/>
      <x:c r="U767" s="43"/>
      <x:c r="V767" s="43"/>
      <x:c r="W767" s="43"/>
      <x:c r="X767" s="43"/>
      <x:c r="Y767" s="43"/>
      <x:c r="Z767" s="43"/>
      <x:c r="AA767" s="43"/>
      <x:c r="AB767" s="43"/>
      <x:c r="AC767" s="43"/>
      <x:c r="AD767" s="43"/>
      <x:c r="AE767" s="43"/>
      <x:c r="AF767" s="43"/>
      <x:c r="AG767" s="67"/>
      <x:c r="AH767" s="43"/>
      <x:c r="AI767" s="43"/>
    </x:row>
    <x:row r="768">
      <x:c r="A768" s="43"/>
      <x:c r="B768" s="43"/>
      <x:c r="C768" s="43"/>
      <x:c r="D768" s="43" t="str">
        <x:f>IF(C768="","",YEAR(C768))</x:f>
      </x:c>
      <x:c r="E768" s="43" t="str">
        <x:f>IF(C768="","",MONTH(C768))</x:f>
      </x:c>
      <x:c r="F768" s="43" t="str">
        <x:f>IF(C768="","",WEEKNUM(C768,21))</x:f>
      </x:c>
      <x:c r="G768" s="43" t="str">
        <x:f>IF(C768="","",CHOOSE(WEEKDAY(C768,2),"Lundi","Mardi","Mercredi","Jeudi","Vendredi","Samedi","Dimanche"))</x:f>
      </x:c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  <x:c r="AA768" s="43"/>
      <x:c r="AB768" s="43"/>
      <x:c r="AC768" s="43"/>
      <x:c r="AD768" s="43"/>
      <x:c r="AE768" s="43"/>
      <x:c r="AF768" s="43"/>
      <x:c r="AG768" s="67"/>
      <x:c r="AH768" s="43"/>
      <x:c r="AI768" s="43"/>
    </x:row>
    <x:row r="769">
      <x:c r="A769" s="43"/>
      <x:c r="B769" s="43"/>
      <x:c r="C769" s="43"/>
      <x:c r="D769" s="43" t="str">
        <x:f>IF(C769="","",YEAR(C769))</x:f>
      </x:c>
      <x:c r="E769" s="43" t="str">
        <x:f>IF(C769="","",MONTH(C769))</x:f>
      </x:c>
      <x:c r="F769" s="43" t="str">
        <x:f>IF(C769="","",WEEKNUM(C769,21))</x:f>
      </x:c>
      <x:c r="G769" s="43" t="str">
        <x:f>IF(C769="","",CHOOSE(WEEKDAY(C769,2),"Lundi","Mardi","Mercredi","Jeudi","Vendredi","Samedi","Dimanche"))</x:f>
      </x:c>
      <x:c r="H769" s="43"/>
      <x:c r="I769" s="43"/>
      <x:c r="J769" s="43"/>
      <x:c r="K769" s="43"/>
      <x:c r="L769" s="43"/>
      <x:c r="M769" s="43"/>
      <x:c r="N769" s="43"/>
      <x:c r="O769" s="43"/>
      <x:c r="P769" s="43"/>
      <x:c r="Q769" s="43"/>
      <x:c r="R769" s="43"/>
      <x:c r="S769" s="43"/>
      <x:c r="T769" s="43"/>
      <x:c r="U769" s="43"/>
      <x:c r="V769" s="43"/>
      <x:c r="W769" s="43"/>
      <x:c r="X769" s="43"/>
      <x:c r="Y769" s="43"/>
      <x:c r="Z769" s="43"/>
      <x:c r="AA769" s="43"/>
      <x:c r="AB769" s="43"/>
      <x:c r="AC769" s="43"/>
      <x:c r="AD769" s="43"/>
      <x:c r="AE769" s="43"/>
      <x:c r="AF769" s="43"/>
      <x:c r="AG769" s="67"/>
      <x:c r="AH769" s="43"/>
      <x:c r="AI769" s="43"/>
    </x:row>
    <x:row r="770">
      <x:c r="A770" s="43"/>
      <x:c r="B770" s="43"/>
      <x:c r="C770" s="43"/>
      <x:c r="D770" s="43" t="str">
        <x:f>IF(C770="","",YEAR(C770))</x:f>
      </x:c>
      <x:c r="E770" s="43" t="str">
        <x:f>IF(C770="","",MONTH(C770))</x:f>
      </x:c>
      <x:c r="F770" s="43" t="str">
        <x:f>IF(C770="","",WEEKNUM(C770,21))</x:f>
      </x:c>
      <x:c r="G770" s="43" t="str">
        <x:f>IF(C770="","",CHOOSE(WEEKDAY(C770,2),"Lundi","Mardi","Mercredi","Jeudi","Vendredi","Samedi","Dimanche"))</x:f>
      </x:c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  <x:c r="AA770" s="43"/>
      <x:c r="AB770" s="43"/>
      <x:c r="AC770" s="43"/>
      <x:c r="AD770" s="43"/>
      <x:c r="AE770" s="43"/>
      <x:c r="AF770" s="43"/>
      <x:c r="AG770" s="67"/>
      <x:c r="AH770" s="43"/>
      <x:c r="AI770" s="43"/>
    </x:row>
    <x:row r="771">
      <x:c r="A771" s="43"/>
      <x:c r="B771" s="43"/>
      <x:c r="C771" s="43"/>
      <x:c r="D771" s="43" t="str">
        <x:f>IF(C771="","",YEAR(C771))</x:f>
      </x:c>
      <x:c r="E771" s="43" t="str">
        <x:f>IF(C771="","",MONTH(C771))</x:f>
      </x:c>
      <x:c r="F771" s="43" t="str">
        <x:f>IF(C771="","",WEEKNUM(C771,21))</x:f>
      </x:c>
      <x:c r="G771" s="43" t="str">
        <x:f>IF(C771="","",CHOOSE(WEEKDAY(C771,2),"Lundi","Mardi","Mercredi","Jeudi","Vendredi","Samedi","Dimanche"))</x:f>
      </x:c>
      <x:c r="H771" s="43"/>
      <x:c r="I771" s="43"/>
      <x:c r="J771" s="43"/>
      <x:c r="K771" s="43"/>
      <x:c r="L771" s="43"/>
      <x:c r="M771" s="43"/>
      <x:c r="N771" s="43"/>
      <x:c r="O771" s="43"/>
      <x:c r="P771" s="43"/>
      <x:c r="Q771" s="43"/>
      <x:c r="R771" s="43"/>
      <x:c r="S771" s="43"/>
      <x:c r="T771" s="43"/>
      <x:c r="U771" s="43"/>
      <x:c r="V771" s="43"/>
      <x:c r="W771" s="43"/>
      <x:c r="X771" s="43"/>
      <x:c r="Y771" s="43"/>
      <x:c r="Z771" s="43"/>
      <x:c r="AA771" s="43"/>
      <x:c r="AB771" s="43"/>
      <x:c r="AC771" s="43"/>
      <x:c r="AD771" s="43"/>
      <x:c r="AE771" s="43"/>
      <x:c r="AF771" s="43"/>
      <x:c r="AG771" s="67"/>
      <x:c r="AH771" s="43"/>
      <x:c r="AI771" s="43"/>
    </x:row>
    <x:row r="772">
      <x:c r="A772" s="43"/>
      <x:c r="B772" s="43"/>
      <x:c r="C772" s="43"/>
      <x:c r="D772" s="43" t="str">
        <x:f>IF(C772="","",YEAR(C772))</x:f>
      </x:c>
      <x:c r="E772" s="43" t="str">
        <x:f>IF(C772="","",MONTH(C772))</x:f>
      </x:c>
      <x:c r="F772" s="43" t="str">
        <x:f>IF(C772="","",WEEKNUM(C772,21))</x:f>
      </x:c>
      <x:c r="G772" s="43" t="str">
        <x:f>IF(C772="","",CHOOSE(WEEKDAY(C772,2),"Lundi","Mardi","Mercredi","Jeudi","Vendredi","Samedi","Dimanche"))</x:f>
      </x:c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  <x:c r="AA772" s="43"/>
      <x:c r="AB772" s="43"/>
      <x:c r="AC772" s="43"/>
      <x:c r="AD772" s="43"/>
      <x:c r="AE772" s="43"/>
      <x:c r="AF772" s="43"/>
      <x:c r="AG772" s="67"/>
      <x:c r="AH772" s="43"/>
      <x:c r="AI772" s="43"/>
    </x:row>
    <x:row r="773">
      <x:c r="A773" s="43"/>
      <x:c r="B773" s="43"/>
      <x:c r="C773" s="43"/>
      <x:c r="D773" s="43" t="str">
        <x:f>IF(C773="","",YEAR(C773))</x:f>
      </x:c>
      <x:c r="E773" s="43" t="str">
        <x:f>IF(C773="","",MONTH(C773))</x:f>
      </x:c>
      <x:c r="F773" s="43" t="str">
        <x:f>IF(C773="","",WEEKNUM(C773,21))</x:f>
      </x:c>
      <x:c r="G773" s="43" t="str">
        <x:f>IF(C773="","",CHOOSE(WEEKDAY(C773,2),"Lundi","Mardi","Mercredi","Jeudi","Vendredi","Samedi","Dimanche"))</x:f>
      </x:c>
      <x:c r="H773" s="43"/>
      <x:c r="I773" s="43"/>
      <x:c r="J773" s="43"/>
      <x:c r="K773" s="43"/>
      <x:c r="L773" s="43"/>
      <x:c r="M773" s="43"/>
      <x:c r="N773" s="43"/>
      <x:c r="O773" s="43"/>
      <x:c r="P773" s="43"/>
      <x:c r="Q773" s="43"/>
      <x:c r="R773" s="43"/>
      <x:c r="S773" s="43"/>
      <x:c r="T773" s="43"/>
      <x:c r="U773" s="43"/>
      <x:c r="V773" s="43"/>
      <x:c r="W773" s="43"/>
      <x:c r="X773" s="43"/>
      <x:c r="Y773" s="43"/>
      <x:c r="Z773" s="43"/>
      <x:c r="AA773" s="43"/>
      <x:c r="AB773" s="43"/>
      <x:c r="AC773" s="43"/>
      <x:c r="AD773" s="43"/>
      <x:c r="AE773" s="43"/>
      <x:c r="AF773" s="43"/>
      <x:c r="AG773" s="67"/>
      <x:c r="AH773" s="43"/>
      <x:c r="AI773" s="43"/>
    </x:row>
    <x:row r="774">
      <x:c r="A774" s="43"/>
      <x:c r="B774" s="43"/>
      <x:c r="C774" s="43"/>
      <x:c r="D774" s="43" t="str">
        <x:f>IF(C774="","",YEAR(C774))</x:f>
      </x:c>
      <x:c r="E774" s="43" t="str">
        <x:f>IF(C774="","",MONTH(C774))</x:f>
      </x:c>
      <x:c r="F774" s="43" t="str">
        <x:f>IF(C774="","",WEEKNUM(C774,21))</x:f>
      </x:c>
      <x:c r="G774" s="43" t="str">
        <x:f>IF(C774="","",CHOOSE(WEEKDAY(C774,2),"Lundi","Mardi","Mercredi","Jeudi","Vendredi","Samedi","Dimanche"))</x:f>
      </x:c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  <x:c r="AA774" s="43"/>
      <x:c r="AB774" s="43"/>
      <x:c r="AC774" s="43"/>
      <x:c r="AD774" s="43"/>
      <x:c r="AE774" s="43"/>
      <x:c r="AF774" s="43"/>
      <x:c r="AG774" s="67"/>
      <x:c r="AH774" s="43"/>
      <x:c r="AI774" s="43"/>
    </x:row>
    <x:row r="775">
      <x:c r="A775" s="43"/>
      <x:c r="B775" s="43"/>
      <x:c r="C775" s="43"/>
      <x:c r="D775" s="43" t="str">
        <x:f>IF(C775="","",YEAR(C775))</x:f>
      </x:c>
      <x:c r="E775" s="43" t="str">
        <x:f>IF(C775="","",MONTH(C775))</x:f>
      </x:c>
      <x:c r="F775" s="43" t="str">
        <x:f>IF(C775="","",WEEKNUM(C775,21))</x:f>
      </x:c>
      <x:c r="G775" s="43" t="str">
        <x:f>IF(C775="","",CHOOSE(WEEKDAY(C775,2),"Lundi","Mardi","Mercredi","Jeudi","Vendredi","Samedi","Dimanche"))</x:f>
      </x:c>
      <x:c r="H775" s="43"/>
      <x:c r="I775" s="43"/>
      <x:c r="J775" s="43"/>
      <x:c r="K775" s="43"/>
      <x:c r="L775" s="43"/>
      <x:c r="M775" s="43"/>
      <x:c r="N775" s="43"/>
      <x:c r="O775" s="43"/>
      <x:c r="P775" s="43"/>
      <x:c r="Q775" s="43"/>
      <x:c r="R775" s="43"/>
      <x:c r="S775" s="43"/>
      <x:c r="T775" s="43"/>
      <x:c r="U775" s="43"/>
      <x:c r="V775" s="43"/>
      <x:c r="W775" s="43"/>
      <x:c r="X775" s="43"/>
      <x:c r="Y775" s="43"/>
      <x:c r="Z775" s="43"/>
      <x:c r="AA775" s="43"/>
      <x:c r="AB775" s="43"/>
      <x:c r="AC775" s="43"/>
      <x:c r="AD775" s="43"/>
      <x:c r="AE775" s="43"/>
      <x:c r="AF775" s="43"/>
      <x:c r="AG775" s="67"/>
      <x:c r="AH775" s="43"/>
      <x:c r="AI775" s="43"/>
    </x:row>
    <x:row r="776">
      <x:c r="A776" s="43"/>
      <x:c r="B776" s="43"/>
      <x:c r="C776" s="43"/>
      <x:c r="D776" s="43" t="str">
        <x:f>IF(C776="","",YEAR(C776))</x:f>
      </x:c>
      <x:c r="E776" s="43" t="str">
        <x:f>IF(C776="","",MONTH(C776))</x:f>
      </x:c>
      <x:c r="F776" s="43" t="str">
        <x:f>IF(C776="","",WEEKNUM(C776,21))</x:f>
      </x:c>
      <x:c r="G776" s="43" t="str">
        <x:f>IF(C776="","",CHOOSE(WEEKDAY(C776,2),"Lundi","Mardi","Mercredi","Jeudi","Vendredi","Samedi","Dimanche"))</x:f>
      </x:c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  <x:c r="AA776" s="43"/>
      <x:c r="AB776" s="43"/>
      <x:c r="AC776" s="43"/>
      <x:c r="AD776" s="43"/>
      <x:c r="AE776" s="43"/>
      <x:c r="AF776" s="43"/>
      <x:c r="AG776" s="67"/>
      <x:c r="AH776" s="43"/>
      <x:c r="AI776" s="43"/>
    </x:row>
    <x:row r="777">
      <x:c r="A777" s="43"/>
      <x:c r="B777" s="43"/>
      <x:c r="C777" s="43"/>
      <x:c r="D777" s="43" t="str">
        <x:f>IF(C777="","",YEAR(C777))</x:f>
      </x:c>
      <x:c r="E777" s="43" t="str">
        <x:f>IF(C777="","",MONTH(C777))</x:f>
      </x:c>
      <x:c r="F777" s="43" t="str">
        <x:f>IF(C777="","",WEEKNUM(C777,21))</x:f>
      </x:c>
      <x:c r="G777" s="43" t="str">
        <x:f>IF(C777="","",CHOOSE(WEEKDAY(C777,2),"Lundi","Mardi","Mercredi","Jeudi","Vendredi","Samedi","Dimanche"))</x:f>
      </x:c>
      <x:c r="H777" s="43"/>
      <x:c r="I777" s="43"/>
      <x:c r="J777" s="43"/>
      <x:c r="K777" s="43"/>
      <x:c r="L777" s="43"/>
      <x:c r="M777" s="43"/>
      <x:c r="N777" s="43"/>
      <x:c r="O777" s="43"/>
      <x:c r="P777" s="43"/>
      <x:c r="Q777" s="43"/>
      <x:c r="R777" s="43"/>
      <x:c r="S777" s="43"/>
      <x:c r="T777" s="43"/>
      <x:c r="U777" s="43"/>
      <x:c r="V777" s="43"/>
      <x:c r="W777" s="43"/>
      <x:c r="X777" s="43"/>
      <x:c r="Y777" s="43"/>
      <x:c r="Z777" s="43"/>
      <x:c r="AA777" s="43"/>
      <x:c r="AB777" s="43"/>
      <x:c r="AC777" s="43"/>
      <x:c r="AD777" s="43"/>
      <x:c r="AE777" s="43"/>
      <x:c r="AF777" s="43"/>
      <x:c r="AG777" s="67"/>
      <x:c r="AH777" s="43"/>
      <x:c r="AI777" s="43"/>
    </x:row>
    <x:row r="778">
      <x:c r="A778" s="43"/>
      <x:c r="B778" s="43"/>
      <x:c r="C778" s="43"/>
      <x:c r="D778" s="43" t="str">
        <x:f>IF(C778="","",YEAR(C778))</x:f>
      </x:c>
      <x:c r="E778" s="43" t="str">
        <x:f>IF(C778="","",MONTH(C778))</x:f>
      </x:c>
      <x:c r="F778" s="43" t="str">
        <x:f>IF(C778="","",WEEKNUM(C778,21))</x:f>
      </x:c>
      <x:c r="G778" s="43" t="str">
        <x:f>IF(C778="","",CHOOSE(WEEKDAY(C778,2),"Lundi","Mardi","Mercredi","Jeudi","Vendredi","Samedi","Dimanche"))</x:f>
      </x:c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  <x:c r="AA778" s="43"/>
      <x:c r="AB778" s="43"/>
      <x:c r="AC778" s="43"/>
      <x:c r="AD778" s="43"/>
      <x:c r="AE778" s="43"/>
      <x:c r="AF778" s="43"/>
      <x:c r="AG778" s="67"/>
      <x:c r="AH778" s="43"/>
      <x:c r="AI778" s="43"/>
    </x:row>
    <x:row r="779">
      <x:c r="A779" s="43"/>
      <x:c r="B779" s="43"/>
      <x:c r="C779" s="43"/>
      <x:c r="D779" s="43" t="str">
        <x:f>IF(C779="","",YEAR(C779))</x:f>
      </x:c>
      <x:c r="E779" s="43" t="str">
        <x:f>IF(C779="","",MONTH(C779))</x:f>
      </x:c>
      <x:c r="F779" s="43" t="str">
        <x:f>IF(C779="","",WEEKNUM(C779,21))</x:f>
      </x:c>
      <x:c r="G779" s="43" t="str">
        <x:f>IF(C779="","",CHOOSE(WEEKDAY(C779,2),"Lundi","Mardi","Mercredi","Jeudi","Vendredi","Samedi","Dimanche"))</x:f>
      </x:c>
      <x:c r="H779" s="43"/>
      <x:c r="I779" s="43"/>
      <x:c r="J779" s="43"/>
      <x:c r="K779" s="43"/>
      <x:c r="L779" s="43"/>
      <x:c r="M779" s="43"/>
      <x:c r="N779" s="43"/>
      <x:c r="O779" s="43"/>
      <x:c r="P779" s="43"/>
      <x:c r="Q779" s="43"/>
      <x:c r="R779" s="43"/>
      <x:c r="S779" s="43"/>
      <x:c r="T779" s="43"/>
      <x:c r="U779" s="43"/>
      <x:c r="V779" s="43"/>
      <x:c r="W779" s="43"/>
      <x:c r="X779" s="43"/>
      <x:c r="Y779" s="43"/>
      <x:c r="Z779" s="43"/>
      <x:c r="AA779" s="43"/>
      <x:c r="AB779" s="43"/>
      <x:c r="AC779" s="43"/>
      <x:c r="AD779" s="43"/>
      <x:c r="AE779" s="43"/>
      <x:c r="AF779" s="43"/>
      <x:c r="AG779" s="67"/>
      <x:c r="AH779" s="43"/>
      <x:c r="AI779" s="43"/>
    </x:row>
    <x:row r="780">
      <x:c r="A780" s="43"/>
      <x:c r="B780" s="43"/>
      <x:c r="C780" s="43"/>
      <x:c r="D780" s="43" t="str">
        <x:f>IF(C780="","",YEAR(C780))</x:f>
      </x:c>
      <x:c r="E780" s="43" t="str">
        <x:f>IF(C780="","",MONTH(C780))</x:f>
      </x:c>
      <x:c r="F780" s="43" t="str">
        <x:f>IF(C780="","",WEEKNUM(C780,21))</x:f>
      </x:c>
      <x:c r="G780" s="43" t="str">
        <x:f>IF(C780="","",CHOOSE(WEEKDAY(C780,2),"Lundi","Mardi","Mercredi","Jeudi","Vendredi","Samedi","Dimanche"))</x:f>
      </x:c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  <x:c r="AA780" s="43"/>
      <x:c r="AB780" s="43"/>
      <x:c r="AC780" s="43"/>
      <x:c r="AD780" s="43"/>
      <x:c r="AE780" s="43"/>
      <x:c r="AF780" s="43"/>
      <x:c r="AG780" s="67"/>
      <x:c r="AH780" s="43"/>
      <x:c r="AI780" s="43"/>
    </x:row>
    <x:row r="781">
      <x:c r="A781" s="43"/>
      <x:c r="B781" s="43"/>
      <x:c r="C781" s="43"/>
      <x:c r="D781" s="43" t="str">
        <x:f>IF(C781="","",YEAR(C781))</x:f>
      </x:c>
      <x:c r="E781" s="43" t="str">
        <x:f>IF(C781="","",MONTH(C781))</x:f>
      </x:c>
      <x:c r="F781" s="43" t="str">
        <x:f>IF(C781="","",WEEKNUM(C781,21))</x:f>
      </x:c>
      <x:c r="G781" s="43" t="str">
        <x:f>IF(C781="","",CHOOSE(WEEKDAY(C781,2),"Lundi","Mardi","Mercredi","Jeudi","Vendredi","Samedi","Dimanche"))</x:f>
      </x:c>
      <x:c r="H781" s="43"/>
      <x:c r="I781" s="43"/>
      <x:c r="J781" s="43"/>
      <x:c r="K781" s="43"/>
      <x:c r="L781" s="43"/>
      <x:c r="M781" s="43"/>
      <x:c r="N781" s="43"/>
      <x:c r="O781" s="43"/>
      <x:c r="P781" s="43"/>
      <x:c r="Q781" s="43"/>
      <x:c r="R781" s="43"/>
      <x:c r="S781" s="43"/>
      <x:c r="T781" s="43"/>
      <x:c r="U781" s="43"/>
      <x:c r="V781" s="43"/>
      <x:c r="W781" s="43"/>
      <x:c r="X781" s="43"/>
      <x:c r="Y781" s="43"/>
      <x:c r="Z781" s="43"/>
      <x:c r="AA781" s="43"/>
      <x:c r="AB781" s="43"/>
      <x:c r="AC781" s="43"/>
      <x:c r="AD781" s="43"/>
      <x:c r="AE781" s="43"/>
      <x:c r="AF781" s="43"/>
      <x:c r="AG781" s="67"/>
      <x:c r="AH781" s="43"/>
      <x:c r="AI781" s="43"/>
    </x:row>
    <x:row r="782">
      <x:c r="A782" s="43"/>
      <x:c r="B782" s="43"/>
      <x:c r="C782" s="43"/>
      <x:c r="D782" s="43" t="str">
        <x:f>IF(C782="","",YEAR(C782))</x:f>
      </x:c>
      <x:c r="E782" s="43" t="str">
        <x:f>IF(C782="","",MONTH(C782))</x:f>
      </x:c>
      <x:c r="F782" s="43" t="str">
        <x:f>IF(C782="","",WEEKNUM(C782,21))</x:f>
      </x:c>
      <x:c r="G782" s="43" t="str">
        <x:f>IF(C782="","",CHOOSE(WEEKDAY(C782,2),"Lundi","Mardi","Mercredi","Jeudi","Vendredi","Samedi","Dimanche"))</x:f>
      </x:c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  <x:c r="AA782" s="43"/>
      <x:c r="AB782" s="43"/>
      <x:c r="AC782" s="43"/>
      <x:c r="AD782" s="43"/>
      <x:c r="AE782" s="43"/>
      <x:c r="AF782" s="43"/>
      <x:c r="AG782" s="67"/>
      <x:c r="AH782" s="43"/>
      <x:c r="AI782" s="43"/>
    </x:row>
    <x:row r="783">
      <x:c r="A783" s="43"/>
      <x:c r="B783" s="43"/>
      <x:c r="C783" s="43"/>
      <x:c r="D783" s="43" t="str">
        <x:f>IF(C783="","",YEAR(C783))</x:f>
      </x:c>
      <x:c r="E783" s="43" t="str">
        <x:f>IF(C783="","",MONTH(C783))</x:f>
      </x:c>
      <x:c r="F783" s="43" t="str">
        <x:f>IF(C783="","",WEEKNUM(C783,21))</x:f>
      </x:c>
      <x:c r="G783" s="43" t="str">
        <x:f>IF(C783="","",CHOOSE(WEEKDAY(C783,2),"Lundi","Mardi","Mercredi","Jeudi","Vendredi","Samedi","Dimanche"))</x:f>
      </x:c>
      <x:c r="H783" s="43"/>
      <x:c r="I783" s="43"/>
      <x:c r="J783" s="43"/>
      <x:c r="K783" s="43"/>
      <x:c r="L783" s="43"/>
      <x:c r="M783" s="43"/>
      <x:c r="N783" s="43"/>
      <x:c r="O783" s="43"/>
      <x:c r="P783" s="43"/>
      <x:c r="Q783" s="43"/>
      <x:c r="R783" s="43"/>
      <x:c r="S783" s="43"/>
      <x:c r="T783" s="43"/>
      <x:c r="U783" s="43"/>
      <x:c r="V783" s="43"/>
      <x:c r="W783" s="43"/>
      <x:c r="X783" s="43"/>
      <x:c r="Y783" s="43"/>
      <x:c r="Z783" s="43"/>
      <x:c r="AA783" s="43"/>
      <x:c r="AB783" s="43"/>
      <x:c r="AC783" s="43"/>
      <x:c r="AD783" s="43"/>
      <x:c r="AE783" s="43"/>
      <x:c r="AF783" s="43"/>
      <x:c r="AG783" s="67"/>
      <x:c r="AH783" s="43"/>
      <x:c r="AI783" s="43"/>
    </x:row>
    <x:row r="784">
      <x:c r="A784" s="43"/>
      <x:c r="B784" s="43"/>
      <x:c r="C784" s="43"/>
      <x:c r="D784" s="43" t="str">
        <x:f>IF(C784="","",YEAR(C784))</x:f>
      </x:c>
      <x:c r="E784" s="43" t="str">
        <x:f>IF(C784="","",MONTH(C784))</x:f>
      </x:c>
      <x:c r="F784" s="43" t="str">
        <x:f>IF(C784="","",WEEKNUM(C784,21))</x:f>
      </x:c>
      <x:c r="G784" s="43" t="str">
        <x:f>IF(C784="","",CHOOSE(WEEKDAY(C784,2),"Lundi","Mardi","Mercredi","Jeudi","Vendredi","Samedi","Dimanche"))</x:f>
      </x:c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  <x:c r="AA784" s="43"/>
      <x:c r="AB784" s="43"/>
      <x:c r="AC784" s="43"/>
      <x:c r="AD784" s="43"/>
      <x:c r="AE784" s="43"/>
      <x:c r="AF784" s="43"/>
      <x:c r="AG784" s="67"/>
      <x:c r="AH784" s="43"/>
      <x:c r="AI784" s="43"/>
    </x:row>
    <x:row r="785">
      <x:c r="A785" s="43"/>
      <x:c r="B785" s="43"/>
      <x:c r="C785" s="43"/>
      <x:c r="D785" s="43" t="str">
        <x:f>IF(C785="","",YEAR(C785))</x:f>
      </x:c>
      <x:c r="E785" s="43" t="str">
        <x:f>IF(C785="","",MONTH(C785))</x:f>
      </x:c>
      <x:c r="F785" s="43" t="str">
        <x:f>IF(C785="","",WEEKNUM(C785,21))</x:f>
      </x:c>
      <x:c r="G785" s="43" t="str">
        <x:f>IF(C785="","",CHOOSE(WEEKDAY(C785,2),"Lundi","Mardi","Mercredi","Jeudi","Vendredi","Samedi","Dimanche"))</x:f>
      </x:c>
      <x:c r="H785" s="43"/>
      <x:c r="I785" s="43"/>
      <x:c r="J785" s="43"/>
      <x:c r="K785" s="43"/>
      <x:c r="L785" s="43"/>
      <x:c r="M785" s="43"/>
      <x:c r="N785" s="43"/>
      <x:c r="O785" s="43"/>
      <x:c r="P785" s="43"/>
      <x:c r="Q785" s="43"/>
      <x:c r="R785" s="43"/>
      <x:c r="S785" s="43"/>
      <x:c r="T785" s="43"/>
      <x:c r="U785" s="43"/>
      <x:c r="V785" s="43"/>
      <x:c r="W785" s="43"/>
      <x:c r="X785" s="43"/>
      <x:c r="Y785" s="43"/>
      <x:c r="Z785" s="43"/>
      <x:c r="AA785" s="43"/>
      <x:c r="AB785" s="43"/>
      <x:c r="AC785" s="43"/>
      <x:c r="AD785" s="43"/>
      <x:c r="AE785" s="43"/>
      <x:c r="AF785" s="43"/>
      <x:c r="AG785" s="67"/>
      <x:c r="AH785" s="43"/>
      <x:c r="AI785" s="43"/>
    </x:row>
    <x:row r="786">
      <x:c r="A786" s="43"/>
      <x:c r="B786" s="43"/>
      <x:c r="C786" s="43"/>
      <x:c r="D786" s="43" t="str">
        <x:f>IF(C786="","",YEAR(C786))</x:f>
      </x:c>
      <x:c r="E786" s="43" t="str">
        <x:f>IF(C786="","",MONTH(C786))</x:f>
      </x:c>
      <x:c r="F786" s="43" t="str">
        <x:f>IF(C786="","",WEEKNUM(C786,21))</x:f>
      </x:c>
      <x:c r="G786" s="43" t="str">
        <x:f>IF(C786="","",CHOOSE(WEEKDAY(C786,2),"Lundi","Mardi","Mercredi","Jeudi","Vendredi","Samedi","Dimanche"))</x:f>
      </x:c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  <x:c r="AA786" s="43"/>
      <x:c r="AB786" s="43"/>
      <x:c r="AC786" s="43"/>
      <x:c r="AD786" s="43"/>
      <x:c r="AE786" s="43"/>
      <x:c r="AF786" s="43"/>
      <x:c r="AG786" s="67"/>
      <x:c r="AH786" s="43"/>
      <x:c r="AI786" s="43"/>
    </x:row>
    <x:row r="787">
      <x:c r="A787" s="43"/>
      <x:c r="B787" s="43"/>
      <x:c r="C787" s="43"/>
      <x:c r="D787" s="43" t="str">
        <x:f>IF(C787="","",YEAR(C787))</x:f>
      </x:c>
      <x:c r="E787" s="43" t="str">
        <x:f>IF(C787="","",MONTH(C787))</x:f>
      </x:c>
      <x:c r="F787" s="43" t="str">
        <x:f>IF(C787="","",WEEKNUM(C787,21))</x:f>
      </x:c>
      <x:c r="G787" s="43" t="str">
        <x:f>IF(C787="","",CHOOSE(WEEKDAY(C787,2),"Lundi","Mardi","Mercredi","Jeudi","Vendredi","Samedi","Dimanche"))</x:f>
      </x:c>
      <x:c r="H787" s="43"/>
      <x:c r="I787" s="43"/>
      <x:c r="J787" s="43"/>
      <x:c r="K787" s="43"/>
      <x:c r="L787" s="43"/>
      <x:c r="M787" s="43"/>
      <x:c r="N787" s="43"/>
      <x:c r="O787" s="43"/>
      <x:c r="P787" s="43"/>
      <x:c r="Q787" s="43"/>
      <x:c r="R787" s="43"/>
      <x:c r="S787" s="43"/>
      <x:c r="T787" s="43"/>
      <x:c r="U787" s="43"/>
      <x:c r="V787" s="43"/>
      <x:c r="W787" s="43"/>
      <x:c r="X787" s="43"/>
      <x:c r="Y787" s="43"/>
      <x:c r="Z787" s="43"/>
      <x:c r="AA787" s="43"/>
      <x:c r="AB787" s="43"/>
      <x:c r="AC787" s="43"/>
      <x:c r="AD787" s="43"/>
      <x:c r="AE787" s="43"/>
      <x:c r="AF787" s="43"/>
      <x:c r="AG787" s="67"/>
      <x:c r="AH787" s="43"/>
      <x:c r="AI787" s="43"/>
    </x:row>
    <x:row r="788">
      <x:c r="A788" s="43"/>
      <x:c r="B788" s="43"/>
      <x:c r="C788" s="43"/>
      <x:c r="D788" s="43" t="str">
        <x:f>IF(C788="","",YEAR(C788))</x:f>
      </x:c>
      <x:c r="E788" s="43" t="str">
        <x:f>IF(C788="","",MONTH(C788))</x:f>
      </x:c>
      <x:c r="F788" s="43" t="str">
        <x:f>IF(C788="","",WEEKNUM(C788,21))</x:f>
      </x:c>
      <x:c r="G788" s="43" t="str">
        <x:f>IF(C788="","",CHOOSE(WEEKDAY(C788,2),"Lundi","Mardi","Mercredi","Jeudi","Vendredi","Samedi","Dimanche"))</x:f>
      </x:c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  <x:c r="AA788" s="43"/>
      <x:c r="AB788" s="43"/>
      <x:c r="AC788" s="43"/>
      <x:c r="AD788" s="43"/>
      <x:c r="AE788" s="43"/>
      <x:c r="AF788" s="43"/>
      <x:c r="AG788" s="67"/>
      <x:c r="AH788" s="43"/>
      <x:c r="AI788" s="43"/>
    </x:row>
    <x:row r="789">
      <x:c r="A789" s="43"/>
      <x:c r="B789" s="43"/>
      <x:c r="C789" s="43"/>
      <x:c r="D789" s="43" t="str">
        <x:f>IF(C789="","",YEAR(C789))</x:f>
      </x:c>
      <x:c r="E789" s="43" t="str">
        <x:f>IF(C789="","",MONTH(C789))</x:f>
      </x:c>
      <x:c r="F789" s="43" t="str">
        <x:f>IF(C789="","",WEEKNUM(C789,21))</x:f>
      </x:c>
      <x:c r="G789" s="43" t="str">
        <x:f>IF(C789="","",CHOOSE(WEEKDAY(C789,2),"Lundi","Mardi","Mercredi","Jeudi","Vendredi","Samedi","Dimanche"))</x:f>
      </x:c>
      <x:c r="H789" s="43"/>
      <x:c r="I789" s="43"/>
      <x:c r="J789" s="43"/>
      <x:c r="K789" s="43"/>
      <x:c r="L789" s="43"/>
      <x:c r="M789" s="43"/>
      <x:c r="N789" s="43"/>
      <x:c r="O789" s="43"/>
      <x:c r="P789" s="43"/>
      <x:c r="Q789" s="43"/>
      <x:c r="R789" s="43"/>
      <x:c r="S789" s="43"/>
      <x:c r="T789" s="43"/>
      <x:c r="U789" s="43"/>
      <x:c r="V789" s="43"/>
      <x:c r="W789" s="43"/>
      <x:c r="X789" s="43"/>
      <x:c r="Y789" s="43"/>
      <x:c r="Z789" s="43"/>
      <x:c r="AA789" s="43"/>
      <x:c r="AB789" s="43"/>
      <x:c r="AC789" s="43"/>
      <x:c r="AD789" s="43"/>
      <x:c r="AE789" s="43"/>
      <x:c r="AF789" s="43"/>
      <x:c r="AG789" s="67"/>
      <x:c r="AH789" s="43"/>
      <x:c r="AI789" s="43"/>
    </x:row>
    <x:row r="790">
      <x:c r="A790" s="43"/>
      <x:c r="B790" s="43"/>
      <x:c r="C790" s="43"/>
      <x:c r="D790" s="43" t="str">
        <x:f>IF(C790="","",YEAR(C790))</x:f>
      </x:c>
      <x:c r="E790" s="43" t="str">
        <x:f>IF(C790="","",MONTH(C790))</x:f>
      </x:c>
      <x:c r="F790" s="43" t="str">
        <x:f>IF(C790="","",WEEKNUM(C790,21))</x:f>
      </x:c>
      <x:c r="G790" s="43" t="str">
        <x:f>IF(C790="","",CHOOSE(WEEKDAY(C790,2),"Lundi","Mardi","Mercredi","Jeudi","Vendredi","Samedi","Dimanche"))</x:f>
      </x:c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  <x:c r="AA790" s="43"/>
      <x:c r="AB790" s="43"/>
      <x:c r="AC790" s="43"/>
      <x:c r="AD790" s="43"/>
      <x:c r="AE790" s="43"/>
      <x:c r="AF790" s="43"/>
      <x:c r="AG790" s="67"/>
      <x:c r="AH790" s="43"/>
      <x:c r="AI790" s="43"/>
    </x:row>
    <x:row r="791">
      <x:c r="A791" s="43"/>
      <x:c r="B791" s="43"/>
      <x:c r="C791" s="43"/>
      <x:c r="D791" s="43" t="str">
        <x:f>IF(C791="","",YEAR(C791))</x:f>
      </x:c>
      <x:c r="E791" s="43" t="str">
        <x:f>IF(C791="","",MONTH(C791))</x:f>
      </x:c>
      <x:c r="F791" s="43" t="str">
        <x:f>IF(C791="","",WEEKNUM(C791,21))</x:f>
      </x:c>
      <x:c r="G791" s="43" t="str">
        <x:f>IF(C791="","",CHOOSE(WEEKDAY(C791,2),"Lundi","Mardi","Mercredi","Jeudi","Vendredi","Samedi","Dimanche"))</x:f>
      </x:c>
      <x:c r="H791" s="43"/>
      <x:c r="I791" s="43"/>
      <x:c r="J791" s="43"/>
      <x:c r="K791" s="43"/>
      <x:c r="L791" s="43"/>
      <x:c r="M791" s="43"/>
      <x:c r="N791" s="43"/>
      <x:c r="O791" s="43"/>
      <x:c r="P791" s="43"/>
      <x:c r="Q791" s="43"/>
      <x:c r="R791" s="43"/>
      <x:c r="S791" s="43"/>
      <x:c r="T791" s="43"/>
      <x:c r="U791" s="43"/>
      <x:c r="V791" s="43"/>
      <x:c r="W791" s="43"/>
      <x:c r="X791" s="43"/>
      <x:c r="Y791" s="43"/>
      <x:c r="Z791" s="43"/>
      <x:c r="AA791" s="43"/>
      <x:c r="AB791" s="43"/>
      <x:c r="AC791" s="43"/>
      <x:c r="AD791" s="43"/>
      <x:c r="AE791" s="43"/>
      <x:c r="AF791" s="43"/>
      <x:c r="AG791" s="67"/>
      <x:c r="AH791" s="43"/>
      <x:c r="AI791" s="43"/>
    </x:row>
    <x:row r="792">
      <x:c r="A792" s="43"/>
      <x:c r="B792" s="43"/>
      <x:c r="C792" s="43"/>
      <x:c r="D792" s="43" t="str">
        <x:f>IF(C792="","",YEAR(C792))</x:f>
      </x:c>
      <x:c r="E792" s="43" t="str">
        <x:f>IF(C792="","",MONTH(C792))</x:f>
      </x:c>
      <x:c r="F792" s="43" t="str">
        <x:f>IF(C792="","",WEEKNUM(C792,21))</x:f>
      </x:c>
      <x:c r="G792" s="43" t="str">
        <x:f>IF(C792="","",CHOOSE(WEEKDAY(C792,2),"Lundi","Mardi","Mercredi","Jeudi","Vendredi","Samedi","Dimanche"))</x:f>
      </x:c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  <x:c r="AA792" s="43"/>
      <x:c r="AB792" s="43"/>
      <x:c r="AC792" s="43"/>
      <x:c r="AD792" s="43"/>
      <x:c r="AE792" s="43"/>
      <x:c r="AF792" s="43"/>
      <x:c r="AG792" s="67"/>
      <x:c r="AH792" s="43"/>
      <x:c r="AI792" s="43"/>
    </x:row>
    <x:row r="793">
      <x:c r="A793" s="43"/>
      <x:c r="B793" s="43"/>
      <x:c r="C793" s="43"/>
      <x:c r="D793" s="43" t="str">
        <x:f>IF(C793="","",YEAR(C793))</x:f>
      </x:c>
      <x:c r="E793" s="43" t="str">
        <x:f>IF(C793="","",MONTH(C793))</x:f>
      </x:c>
      <x:c r="F793" s="43" t="str">
        <x:f>IF(C793="","",WEEKNUM(C793,21))</x:f>
      </x:c>
      <x:c r="G793" s="43" t="str">
        <x:f>IF(C793="","",CHOOSE(WEEKDAY(C793,2),"Lundi","Mardi","Mercredi","Jeudi","Vendredi","Samedi","Dimanche"))</x:f>
      </x:c>
      <x:c r="H793" s="43"/>
      <x:c r="I793" s="43"/>
      <x:c r="J793" s="43"/>
      <x:c r="K793" s="43"/>
      <x:c r="L793" s="43"/>
      <x:c r="M793" s="43"/>
      <x:c r="N793" s="43"/>
      <x:c r="O793" s="43"/>
      <x:c r="P793" s="43"/>
      <x:c r="Q793" s="43"/>
      <x:c r="R793" s="43"/>
      <x:c r="S793" s="43"/>
      <x:c r="T793" s="43"/>
      <x:c r="U793" s="43"/>
      <x:c r="V793" s="43"/>
      <x:c r="W793" s="43"/>
      <x:c r="X793" s="43"/>
      <x:c r="Y793" s="43"/>
      <x:c r="Z793" s="43"/>
      <x:c r="AA793" s="43"/>
      <x:c r="AB793" s="43"/>
      <x:c r="AC793" s="43"/>
      <x:c r="AD793" s="43"/>
      <x:c r="AE793" s="43"/>
      <x:c r="AF793" s="43"/>
      <x:c r="AG793" s="67"/>
      <x:c r="AH793" s="43"/>
      <x:c r="AI793" s="43"/>
    </x:row>
    <x:row r="794">
      <x:c r="A794" s="43"/>
      <x:c r="B794" s="43"/>
      <x:c r="C794" s="43"/>
      <x:c r="D794" s="43" t="str">
        <x:f>IF(C794="","",YEAR(C794))</x:f>
      </x:c>
      <x:c r="E794" s="43" t="str">
        <x:f>IF(C794="","",MONTH(C794))</x:f>
      </x:c>
      <x:c r="F794" s="43" t="str">
        <x:f>IF(C794="","",WEEKNUM(C794,21))</x:f>
      </x:c>
      <x:c r="G794" s="43" t="str">
        <x:f>IF(C794="","",CHOOSE(WEEKDAY(C794,2),"Lundi","Mardi","Mercredi","Jeudi","Vendredi","Samedi","Dimanche"))</x:f>
      </x:c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  <x:c r="AA794" s="43"/>
      <x:c r="AB794" s="43"/>
      <x:c r="AC794" s="43"/>
      <x:c r="AD794" s="43"/>
      <x:c r="AE794" s="43"/>
      <x:c r="AF794" s="43"/>
      <x:c r="AG794" s="67"/>
      <x:c r="AH794" s="43"/>
      <x:c r="AI794" s="43"/>
    </x:row>
    <x:row r="795">
      <x:c r="A795" s="43"/>
      <x:c r="B795" s="43"/>
      <x:c r="C795" s="43"/>
      <x:c r="D795" s="43" t="str">
        <x:f>IF(C795="","",YEAR(C795))</x:f>
      </x:c>
      <x:c r="E795" s="43" t="str">
        <x:f>IF(C795="","",MONTH(C795))</x:f>
      </x:c>
      <x:c r="F795" s="43" t="str">
        <x:f>IF(C795="","",WEEKNUM(C795,21))</x:f>
      </x:c>
      <x:c r="G795" s="43" t="str">
        <x:f>IF(C795="","",CHOOSE(WEEKDAY(C795,2),"Lundi","Mardi","Mercredi","Jeudi","Vendredi","Samedi","Dimanche"))</x:f>
      </x:c>
      <x:c r="H795" s="43"/>
      <x:c r="I795" s="43"/>
      <x:c r="J795" s="43"/>
      <x:c r="K795" s="43"/>
      <x:c r="L795" s="43"/>
      <x:c r="M795" s="43"/>
      <x:c r="N795" s="43"/>
      <x:c r="O795" s="43"/>
      <x:c r="P795" s="43"/>
      <x:c r="Q795" s="43"/>
      <x:c r="R795" s="43"/>
      <x:c r="S795" s="43"/>
      <x:c r="T795" s="43"/>
      <x:c r="U795" s="43"/>
      <x:c r="V795" s="43"/>
      <x:c r="W795" s="43"/>
      <x:c r="X795" s="43"/>
      <x:c r="Y795" s="43"/>
      <x:c r="Z795" s="43"/>
      <x:c r="AA795" s="43"/>
      <x:c r="AB795" s="43"/>
      <x:c r="AC795" s="43"/>
      <x:c r="AD795" s="43"/>
      <x:c r="AE795" s="43"/>
      <x:c r="AF795" s="43"/>
      <x:c r="AG795" s="67"/>
      <x:c r="AH795" s="43"/>
      <x:c r="AI795" s="43"/>
    </x:row>
    <x:row r="796">
      <x:c r="A796" s="43"/>
      <x:c r="B796" s="43"/>
      <x:c r="C796" s="43"/>
      <x:c r="D796" s="43" t="str">
        <x:f>IF(C796="","",YEAR(C796))</x:f>
      </x:c>
      <x:c r="E796" s="43" t="str">
        <x:f>IF(C796="","",MONTH(C796))</x:f>
      </x:c>
      <x:c r="F796" s="43" t="str">
        <x:f>IF(C796="","",WEEKNUM(C796,21))</x:f>
      </x:c>
      <x:c r="G796" s="43" t="str">
        <x:f>IF(C796="","",CHOOSE(WEEKDAY(C796,2),"Lundi","Mardi","Mercredi","Jeudi","Vendredi","Samedi","Dimanche"))</x:f>
      </x:c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  <x:c r="AA796" s="43"/>
      <x:c r="AB796" s="43"/>
      <x:c r="AC796" s="43"/>
      <x:c r="AD796" s="43"/>
      <x:c r="AE796" s="43"/>
      <x:c r="AF796" s="43"/>
      <x:c r="AG796" s="67"/>
      <x:c r="AH796" s="43"/>
      <x:c r="AI796" s="43"/>
    </x:row>
    <x:row r="797">
      <x:c r="A797" s="43"/>
      <x:c r="B797" s="43"/>
      <x:c r="C797" s="43"/>
      <x:c r="D797" s="43" t="str">
        <x:f>IF(C797="","",YEAR(C797))</x:f>
      </x:c>
      <x:c r="E797" s="43" t="str">
        <x:f>IF(C797="","",MONTH(C797))</x:f>
      </x:c>
      <x:c r="F797" s="43" t="str">
        <x:f>IF(C797="","",WEEKNUM(C797,21))</x:f>
      </x:c>
      <x:c r="G797" s="43" t="str">
        <x:f>IF(C797="","",CHOOSE(WEEKDAY(C797,2),"Lundi","Mardi","Mercredi","Jeudi","Vendredi","Samedi","Dimanche"))</x:f>
      </x:c>
      <x:c r="H797" s="43"/>
      <x:c r="I797" s="43"/>
      <x:c r="J797" s="43"/>
      <x:c r="K797" s="43"/>
      <x:c r="L797" s="43"/>
      <x:c r="M797" s="43"/>
      <x:c r="N797" s="43"/>
      <x:c r="O797" s="43"/>
      <x:c r="P797" s="43"/>
      <x:c r="Q797" s="43"/>
      <x:c r="R797" s="43"/>
      <x:c r="S797" s="43"/>
      <x:c r="T797" s="43"/>
      <x:c r="U797" s="43"/>
      <x:c r="V797" s="43"/>
      <x:c r="W797" s="43"/>
      <x:c r="X797" s="43"/>
      <x:c r="Y797" s="43"/>
      <x:c r="Z797" s="43"/>
      <x:c r="AA797" s="43"/>
      <x:c r="AB797" s="43"/>
      <x:c r="AC797" s="43"/>
      <x:c r="AD797" s="43"/>
      <x:c r="AE797" s="43"/>
      <x:c r="AF797" s="43"/>
      <x:c r="AG797" s="67"/>
      <x:c r="AH797" s="43"/>
      <x:c r="AI797" s="43"/>
    </x:row>
    <x:row r="798">
      <x:c r="A798" s="43"/>
      <x:c r="B798" s="43"/>
      <x:c r="C798" s="43"/>
      <x:c r="D798" s="43" t="str">
        <x:f>IF(C798="","",YEAR(C798))</x:f>
      </x:c>
      <x:c r="E798" s="43" t="str">
        <x:f>IF(C798="","",MONTH(C798))</x:f>
      </x:c>
      <x:c r="F798" s="43" t="str">
        <x:f>IF(C798="","",WEEKNUM(C798,21))</x:f>
      </x:c>
      <x:c r="G798" s="43" t="str">
        <x:f>IF(C798="","",CHOOSE(WEEKDAY(C798,2),"Lundi","Mardi","Mercredi","Jeudi","Vendredi","Samedi","Dimanche"))</x:f>
      </x:c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  <x:c r="AA798" s="43"/>
      <x:c r="AB798" s="43"/>
      <x:c r="AC798" s="43"/>
      <x:c r="AD798" s="43"/>
      <x:c r="AE798" s="43"/>
      <x:c r="AF798" s="43"/>
      <x:c r="AG798" s="67"/>
      <x:c r="AH798" s="43"/>
      <x:c r="AI798" s="43"/>
    </x:row>
    <x:row r="799">
      <x:c r="A799" s="43"/>
      <x:c r="B799" s="43"/>
      <x:c r="C799" s="43"/>
      <x:c r="D799" s="43" t="str">
        <x:f>IF(C799="","",YEAR(C799))</x:f>
      </x:c>
      <x:c r="E799" s="43" t="str">
        <x:f>IF(C799="","",MONTH(C799))</x:f>
      </x:c>
      <x:c r="F799" s="43" t="str">
        <x:f>IF(C799="","",WEEKNUM(C799,21))</x:f>
      </x:c>
      <x:c r="G799" s="43" t="str">
        <x:f>IF(C799="","",CHOOSE(WEEKDAY(C799,2),"Lundi","Mardi","Mercredi","Jeudi","Vendredi","Samedi","Dimanche"))</x:f>
      </x:c>
      <x:c r="H799" s="43"/>
      <x:c r="I799" s="43"/>
      <x:c r="J799" s="43"/>
      <x:c r="K799" s="43"/>
      <x:c r="L799" s="43"/>
      <x:c r="M799" s="43"/>
      <x:c r="N799" s="43"/>
      <x:c r="O799" s="43"/>
      <x:c r="P799" s="43"/>
      <x:c r="Q799" s="43"/>
      <x:c r="R799" s="43"/>
      <x:c r="S799" s="43"/>
      <x:c r="T799" s="43"/>
      <x:c r="U799" s="43"/>
      <x:c r="V799" s="43"/>
      <x:c r="W799" s="43"/>
      <x:c r="X799" s="43"/>
      <x:c r="Y799" s="43"/>
      <x:c r="Z799" s="43"/>
      <x:c r="AA799" s="43"/>
      <x:c r="AB799" s="43"/>
      <x:c r="AC799" s="43"/>
      <x:c r="AD799" s="43"/>
      <x:c r="AE799" s="43"/>
      <x:c r="AF799" s="43"/>
      <x:c r="AG799" s="67"/>
      <x:c r="AH799" s="43"/>
      <x:c r="AI799" s="43"/>
    </x:row>
    <x:row r="800">
      <x:c r="A800" s="43"/>
      <x:c r="B800" s="43"/>
      <x:c r="C800" s="43"/>
      <x:c r="D800" s="43" t="str">
        <x:f>IF(C800="","",YEAR(C800))</x:f>
      </x:c>
      <x:c r="E800" s="43" t="str">
        <x:f>IF(C800="","",MONTH(C800))</x:f>
      </x:c>
      <x:c r="F800" s="43" t="str">
        <x:f>IF(C800="","",WEEKNUM(C800,21))</x:f>
      </x:c>
      <x:c r="G800" s="43" t="str">
        <x:f>IF(C800="","",CHOOSE(WEEKDAY(C800,2),"Lundi","Mardi","Mercredi","Jeudi","Vendredi","Samedi","Dimanche"))</x:f>
      </x:c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  <x:c r="AA800" s="43"/>
      <x:c r="AB800" s="43"/>
      <x:c r="AC800" s="43"/>
      <x:c r="AD800" s="43"/>
      <x:c r="AE800" s="43"/>
      <x:c r="AF800" s="43"/>
      <x:c r="AG800" s="67"/>
      <x:c r="AH800" s="43"/>
      <x:c r="AI800" s="43"/>
    </x:row>
    <x:row r="801">
      <x:c r="A801" s="43"/>
      <x:c r="B801" s="43"/>
      <x:c r="C801" s="43"/>
      <x:c r="D801" s="43" t="str">
        <x:f>IF(C801="","",YEAR(C801))</x:f>
      </x:c>
      <x:c r="E801" s="43" t="str">
        <x:f>IF(C801="","",MONTH(C801))</x:f>
      </x:c>
      <x:c r="F801" s="43" t="str">
        <x:f>IF(C801="","",WEEKNUM(C801,21))</x:f>
      </x:c>
      <x:c r="G801" s="43" t="str">
        <x:f>IF(C801="","",CHOOSE(WEEKDAY(C801,2),"Lundi","Mardi","Mercredi","Jeudi","Vendredi","Samedi","Dimanche"))</x:f>
      </x:c>
      <x:c r="H801" s="43"/>
      <x:c r="I801" s="43"/>
      <x:c r="J801" s="43"/>
      <x:c r="K801" s="43"/>
      <x:c r="L801" s="43"/>
      <x:c r="M801" s="43"/>
      <x:c r="N801" s="43"/>
      <x:c r="O801" s="43"/>
      <x:c r="P801" s="43"/>
      <x:c r="Q801" s="43"/>
      <x:c r="R801" s="43"/>
      <x:c r="S801" s="43"/>
      <x:c r="T801" s="43"/>
      <x:c r="U801" s="43"/>
      <x:c r="V801" s="43"/>
      <x:c r="W801" s="43"/>
      <x:c r="X801" s="43"/>
      <x:c r="Y801" s="43"/>
      <x:c r="Z801" s="43"/>
      <x:c r="AA801" s="43"/>
      <x:c r="AB801" s="43"/>
      <x:c r="AC801" s="43"/>
      <x:c r="AD801" s="43"/>
      <x:c r="AE801" s="43"/>
      <x:c r="AF801" s="43"/>
      <x:c r="AG801" s="67"/>
      <x:c r="AH801" s="43"/>
      <x:c r="AI801" s="43"/>
    </x:row>
    <x:row r="802">
      <x:c r="A802" s="43"/>
      <x:c r="B802" s="43"/>
      <x:c r="C802" s="43"/>
      <x:c r="D802" s="43" t="str">
        <x:f>IF(C802="","",YEAR(C802))</x:f>
      </x:c>
      <x:c r="E802" s="43" t="str">
        <x:f>IF(C802="","",MONTH(C802))</x:f>
      </x:c>
      <x:c r="F802" s="43" t="str">
        <x:f>IF(C802="","",WEEKNUM(C802,21))</x:f>
      </x:c>
      <x:c r="G802" s="43" t="str">
        <x:f>IF(C802="","",CHOOSE(WEEKDAY(C802,2),"Lundi","Mardi","Mercredi","Jeudi","Vendredi","Samedi","Dimanche"))</x:f>
      </x:c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  <x:c r="AA802" s="43"/>
      <x:c r="AB802" s="43"/>
      <x:c r="AC802" s="43"/>
      <x:c r="AD802" s="43"/>
      <x:c r="AE802" s="43"/>
      <x:c r="AF802" s="43"/>
      <x:c r="AG802" s="67"/>
      <x:c r="AH802" s="43"/>
      <x:c r="AI802" s="43"/>
    </x:row>
    <x:row r="803">
      <x:c r="A803" s="43"/>
      <x:c r="B803" s="43"/>
      <x:c r="C803" s="43"/>
      <x:c r="D803" s="43" t="str">
        <x:f>IF(C803="","",YEAR(C803))</x:f>
      </x:c>
      <x:c r="E803" s="43" t="str">
        <x:f>IF(C803="","",MONTH(C803))</x:f>
      </x:c>
      <x:c r="F803" s="43" t="str">
        <x:f>IF(C803="","",WEEKNUM(C803,21))</x:f>
      </x:c>
      <x:c r="G803" s="43" t="str">
        <x:f>IF(C803="","",CHOOSE(WEEKDAY(C803,2),"Lundi","Mardi","Mercredi","Jeudi","Vendredi","Samedi","Dimanche"))</x:f>
      </x:c>
      <x:c r="H803" s="43"/>
      <x:c r="I803" s="43"/>
      <x:c r="J803" s="43"/>
      <x:c r="K803" s="43"/>
      <x:c r="L803" s="43"/>
      <x:c r="M803" s="43"/>
      <x:c r="N803" s="43"/>
      <x:c r="O803" s="43"/>
      <x:c r="P803" s="43"/>
      <x:c r="Q803" s="43"/>
      <x:c r="R803" s="43"/>
      <x:c r="S803" s="43"/>
      <x:c r="T803" s="43"/>
      <x:c r="U803" s="43"/>
      <x:c r="V803" s="43"/>
      <x:c r="W803" s="43"/>
      <x:c r="X803" s="43"/>
      <x:c r="Y803" s="43"/>
      <x:c r="Z803" s="43"/>
      <x:c r="AA803" s="43"/>
      <x:c r="AB803" s="43"/>
      <x:c r="AC803" s="43"/>
      <x:c r="AD803" s="43"/>
      <x:c r="AE803" s="43"/>
      <x:c r="AF803" s="43"/>
      <x:c r="AG803" s="67"/>
      <x:c r="AH803" s="43"/>
      <x:c r="AI803" s="43"/>
    </x:row>
    <x:row r="804">
      <x:c r="A804" s="43"/>
      <x:c r="B804" s="43"/>
      <x:c r="C804" s="43"/>
      <x:c r="D804" s="43" t="str">
        <x:f>IF(C804="","",YEAR(C804))</x:f>
      </x:c>
      <x:c r="E804" s="43" t="str">
        <x:f>IF(C804="","",MONTH(C804))</x:f>
      </x:c>
      <x:c r="F804" s="43" t="str">
        <x:f>IF(C804="","",WEEKNUM(C804,21))</x:f>
      </x:c>
      <x:c r="G804" s="43" t="str">
        <x:f>IF(C804="","",CHOOSE(WEEKDAY(C804,2),"Lundi","Mardi","Mercredi","Jeudi","Vendredi","Samedi","Dimanche"))</x:f>
      </x:c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  <x:c r="AA804" s="43"/>
      <x:c r="AB804" s="43"/>
      <x:c r="AC804" s="43"/>
      <x:c r="AD804" s="43"/>
      <x:c r="AE804" s="43"/>
      <x:c r="AF804" s="43"/>
      <x:c r="AG804" s="67"/>
      <x:c r="AH804" s="43"/>
      <x:c r="AI804" s="43"/>
    </x:row>
    <x:row r="805">
      <x:c r="A805" s="43"/>
      <x:c r="B805" s="43"/>
      <x:c r="C805" s="43"/>
      <x:c r="D805" s="43" t="str">
        <x:f>IF(C805="","",YEAR(C805))</x:f>
      </x:c>
      <x:c r="E805" s="43" t="str">
        <x:f>IF(C805="","",MONTH(C805))</x:f>
      </x:c>
      <x:c r="F805" s="43" t="str">
        <x:f>IF(C805="","",WEEKNUM(C805,21))</x:f>
      </x:c>
      <x:c r="G805" s="43" t="str">
        <x:f>IF(C805="","",CHOOSE(WEEKDAY(C805,2),"Lundi","Mardi","Mercredi","Jeudi","Vendredi","Samedi","Dimanche"))</x:f>
      </x:c>
      <x:c r="H805" s="43"/>
      <x:c r="I805" s="43"/>
      <x:c r="J805" s="43"/>
      <x:c r="K805" s="43"/>
      <x:c r="L805" s="43"/>
      <x:c r="M805" s="43"/>
      <x:c r="N805" s="43"/>
      <x:c r="O805" s="43"/>
      <x:c r="P805" s="43"/>
      <x:c r="Q805" s="43"/>
      <x:c r="R805" s="43"/>
      <x:c r="S805" s="43"/>
      <x:c r="T805" s="43"/>
      <x:c r="U805" s="43"/>
      <x:c r="V805" s="43"/>
      <x:c r="W805" s="43"/>
      <x:c r="X805" s="43"/>
      <x:c r="Y805" s="43"/>
      <x:c r="Z805" s="43"/>
      <x:c r="AA805" s="43"/>
      <x:c r="AB805" s="43"/>
      <x:c r="AC805" s="43"/>
      <x:c r="AD805" s="43"/>
      <x:c r="AE805" s="43"/>
      <x:c r="AF805" s="43"/>
      <x:c r="AG805" s="67"/>
      <x:c r="AH805" s="43"/>
      <x:c r="AI805" s="43"/>
    </x:row>
    <x:row r="806">
      <x:c r="A806" s="43"/>
      <x:c r="B806" s="43"/>
      <x:c r="C806" s="43"/>
      <x:c r="D806" s="43" t="str">
        <x:f>IF(C806="","",YEAR(C806))</x:f>
      </x:c>
      <x:c r="E806" s="43" t="str">
        <x:f>IF(C806="","",MONTH(C806))</x:f>
      </x:c>
      <x:c r="F806" s="43" t="str">
        <x:f>IF(C806="","",WEEKNUM(C806,21))</x:f>
      </x:c>
      <x:c r="G806" s="43" t="str">
        <x:f>IF(C806="","",CHOOSE(WEEKDAY(C806,2),"Lundi","Mardi","Mercredi","Jeudi","Vendredi","Samedi","Dimanche"))</x:f>
      </x:c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  <x:c r="AA806" s="43"/>
      <x:c r="AB806" s="43"/>
      <x:c r="AC806" s="43"/>
      <x:c r="AD806" s="43"/>
      <x:c r="AE806" s="43"/>
      <x:c r="AF806" s="43"/>
      <x:c r="AG806" s="67"/>
      <x:c r="AH806" s="43"/>
      <x:c r="AI806" s="43"/>
    </x:row>
    <x:row r="807">
      <x:c r="A807" s="43"/>
      <x:c r="B807" s="43"/>
      <x:c r="C807" s="43"/>
      <x:c r="D807" s="43" t="str">
        <x:f>IF(C807="","",YEAR(C807))</x:f>
      </x:c>
      <x:c r="E807" s="43" t="str">
        <x:f>IF(C807="","",MONTH(C807))</x:f>
      </x:c>
      <x:c r="F807" s="43" t="str">
        <x:f>IF(C807="","",WEEKNUM(C807,21))</x:f>
      </x:c>
      <x:c r="G807" s="43" t="str">
        <x:f>IF(C807="","",CHOOSE(WEEKDAY(C807,2),"Lundi","Mardi","Mercredi","Jeudi","Vendredi","Samedi","Dimanche"))</x:f>
      </x:c>
      <x:c r="H807" s="43"/>
      <x:c r="I807" s="43"/>
      <x:c r="J807" s="43"/>
      <x:c r="K807" s="43"/>
      <x:c r="L807" s="43"/>
      <x:c r="M807" s="43"/>
      <x:c r="N807" s="43"/>
      <x:c r="O807" s="43"/>
      <x:c r="P807" s="43"/>
      <x:c r="Q807" s="43"/>
      <x:c r="R807" s="43"/>
      <x:c r="S807" s="43"/>
      <x:c r="T807" s="43"/>
      <x:c r="U807" s="43"/>
      <x:c r="V807" s="43"/>
      <x:c r="W807" s="43"/>
      <x:c r="X807" s="43"/>
      <x:c r="Y807" s="43"/>
      <x:c r="Z807" s="43"/>
      <x:c r="AA807" s="43"/>
      <x:c r="AB807" s="43"/>
      <x:c r="AC807" s="43"/>
      <x:c r="AD807" s="43"/>
      <x:c r="AE807" s="43"/>
      <x:c r="AF807" s="43"/>
      <x:c r="AG807" s="67"/>
      <x:c r="AH807" s="43"/>
      <x:c r="AI807" s="43"/>
    </x:row>
    <x:row r="808">
      <x:c r="A808" s="43"/>
      <x:c r="B808" s="43"/>
      <x:c r="C808" s="43"/>
      <x:c r="D808" s="43" t="str">
        <x:f>IF(C808="","",YEAR(C808))</x:f>
      </x:c>
      <x:c r="E808" s="43" t="str">
        <x:f>IF(C808="","",MONTH(C808))</x:f>
      </x:c>
      <x:c r="F808" s="43" t="str">
        <x:f>IF(C808="","",WEEKNUM(C808,21))</x:f>
      </x:c>
      <x:c r="G808" s="43" t="str">
        <x:f>IF(C808="","",CHOOSE(WEEKDAY(C808,2),"Lundi","Mardi","Mercredi","Jeudi","Vendredi","Samedi","Dimanche"))</x:f>
      </x:c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  <x:c r="AA808" s="43"/>
      <x:c r="AB808" s="43"/>
      <x:c r="AC808" s="43"/>
      <x:c r="AD808" s="43"/>
      <x:c r="AE808" s="43"/>
      <x:c r="AF808" s="43"/>
      <x:c r="AG808" s="67"/>
      <x:c r="AH808" s="43"/>
      <x:c r="AI808" s="43"/>
    </x:row>
    <x:row r="809">
      <x:c r="A809" s="43"/>
      <x:c r="B809" s="43"/>
      <x:c r="C809" s="43"/>
      <x:c r="D809" s="43" t="str">
        <x:f>IF(C809="","",YEAR(C809))</x:f>
      </x:c>
      <x:c r="E809" s="43" t="str">
        <x:f>IF(C809="","",MONTH(C809))</x:f>
      </x:c>
      <x:c r="F809" s="43" t="str">
        <x:f>IF(C809="","",WEEKNUM(C809,21))</x:f>
      </x:c>
      <x:c r="G809" s="43" t="str">
        <x:f>IF(C809="","",CHOOSE(WEEKDAY(C809,2),"Lundi","Mardi","Mercredi","Jeudi","Vendredi","Samedi","Dimanche"))</x:f>
      </x:c>
      <x:c r="H809" s="43"/>
      <x:c r="I809" s="43"/>
      <x:c r="J809" s="43"/>
      <x:c r="K809" s="43"/>
      <x:c r="L809" s="43"/>
      <x:c r="M809" s="43"/>
      <x:c r="N809" s="43"/>
      <x:c r="O809" s="43"/>
      <x:c r="P809" s="43"/>
      <x:c r="Q809" s="43"/>
      <x:c r="R809" s="43"/>
      <x:c r="S809" s="43"/>
      <x:c r="T809" s="43"/>
      <x:c r="U809" s="43"/>
      <x:c r="V809" s="43"/>
      <x:c r="W809" s="43"/>
      <x:c r="X809" s="43"/>
      <x:c r="Y809" s="43"/>
      <x:c r="Z809" s="43"/>
      <x:c r="AA809" s="43"/>
      <x:c r="AB809" s="43"/>
      <x:c r="AC809" s="43"/>
      <x:c r="AD809" s="43"/>
      <x:c r="AE809" s="43"/>
      <x:c r="AF809" s="43"/>
      <x:c r="AG809" s="67"/>
      <x:c r="AH809" s="43"/>
      <x:c r="AI809" s="43"/>
    </x:row>
    <x:row r="810">
      <x:c r="A810" s="43"/>
      <x:c r="B810" s="43"/>
      <x:c r="C810" s="43"/>
      <x:c r="D810" s="43" t="str">
        <x:f>IF(C810="","",YEAR(C810))</x:f>
      </x:c>
      <x:c r="E810" s="43" t="str">
        <x:f>IF(C810="","",MONTH(C810))</x:f>
      </x:c>
      <x:c r="F810" s="43" t="str">
        <x:f>IF(C810="","",WEEKNUM(C810,21))</x:f>
      </x:c>
      <x:c r="G810" s="43" t="str">
        <x:f>IF(C810="","",CHOOSE(WEEKDAY(C810,2),"Lundi","Mardi","Mercredi","Jeudi","Vendredi","Samedi","Dimanche"))</x:f>
      </x:c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  <x:c r="AA810" s="43"/>
      <x:c r="AB810" s="43"/>
      <x:c r="AC810" s="43"/>
      <x:c r="AD810" s="43"/>
      <x:c r="AE810" s="43"/>
      <x:c r="AF810" s="43"/>
      <x:c r="AG810" s="67"/>
      <x:c r="AH810" s="43"/>
      <x:c r="AI810" s="43"/>
    </x:row>
    <x:row r="811">
      <x:c r="A811" s="43"/>
      <x:c r="B811" s="43"/>
      <x:c r="C811" s="43"/>
      <x:c r="D811" s="43" t="str">
        <x:f>IF(C811="","",YEAR(C811))</x:f>
      </x:c>
      <x:c r="E811" s="43" t="str">
        <x:f>IF(C811="","",MONTH(C811))</x:f>
      </x:c>
      <x:c r="F811" s="43" t="str">
        <x:f>IF(C811="","",WEEKNUM(C811,21))</x:f>
      </x:c>
      <x:c r="G811" s="43" t="str">
        <x:f>IF(C811="","",CHOOSE(WEEKDAY(C811,2),"Lundi","Mardi","Mercredi","Jeudi","Vendredi","Samedi","Dimanche"))</x:f>
      </x:c>
      <x:c r="H811" s="43"/>
      <x:c r="I811" s="43"/>
      <x:c r="J811" s="43"/>
      <x:c r="K811" s="43"/>
      <x:c r="L811" s="43"/>
      <x:c r="M811" s="43"/>
      <x:c r="N811" s="43"/>
      <x:c r="O811" s="43"/>
      <x:c r="P811" s="43"/>
      <x:c r="Q811" s="43"/>
      <x:c r="R811" s="43"/>
      <x:c r="S811" s="43"/>
      <x:c r="T811" s="43"/>
      <x:c r="U811" s="43"/>
      <x:c r="V811" s="43"/>
      <x:c r="W811" s="43"/>
      <x:c r="X811" s="43"/>
      <x:c r="Y811" s="43"/>
      <x:c r="Z811" s="43"/>
      <x:c r="AA811" s="43"/>
      <x:c r="AB811" s="43"/>
      <x:c r="AC811" s="43"/>
      <x:c r="AD811" s="43"/>
      <x:c r="AE811" s="43"/>
      <x:c r="AF811" s="43"/>
      <x:c r="AG811" s="67"/>
      <x:c r="AH811" s="43"/>
      <x:c r="AI811" s="43"/>
    </x:row>
    <x:row r="812">
      <x:c r="A812" s="43"/>
      <x:c r="B812" s="43"/>
      <x:c r="C812" s="43"/>
      <x:c r="D812" s="43" t="str">
        <x:f>IF(C812="","",YEAR(C812))</x:f>
      </x:c>
      <x:c r="E812" s="43" t="str">
        <x:f>IF(C812="","",MONTH(C812))</x:f>
      </x:c>
      <x:c r="F812" s="43" t="str">
        <x:f>IF(C812="","",WEEKNUM(C812,21))</x:f>
      </x:c>
      <x:c r="G812" s="43" t="str">
        <x:f>IF(C812="","",CHOOSE(WEEKDAY(C812,2),"Lundi","Mardi","Mercredi","Jeudi","Vendredi","Samedi","Dimanche"))</x:f>
      </x:c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  <x:c r="AA812" s="43"/>
      <x:c r="AB812" s="43"/>
      <x:c r="AC812" s="43"/>
      <x:c r="AD812" s="43"/>
      <x:c r="AE812" s="43"/>
      <x:c r="AF812" s="43"/>
      <x:c r="AG812" s="67"/>
      <x:c r="AH812" s="43"/>
      <x:c r="AI812" s="43"/>
    </x:row>
    <x:row r="813">
      <x:c r="A813" s="43"/>
      <x:c r="B813" s="43"/>
      <x:c r="C813" s="43"/>
      <x:c r="D813" s="43" t="str">
        <x:f>IF(C813="","",YEAR(C813))</x:f>
      </x:c>
      <x:c r="E813" s="43" t="str">
        <x:f>IF(C813="","",MONTH(C813))</x:f>
      </x:c>
      <x:c r="F813" s="43" t="str">
        <x:f>IF(C813="","",WEEKNUM(C813,21))</x:f>
      </x:c>
      <x:c r="G813" s="43" t="str">
        <x:f>IF(C813="","",CHOOSE(WEEKDAY(C813,2),"Lundi","Mardi","Mercredi","Jeudi","Vendredi","Samedi","Dimanche"))</x:f>
      </x:c>
      <x:c r="H813" s="43"/>
      <x:c r="I813" s="43"/>
      <x:c r="J813" s="43"/>
      <x:c r="K813" s="43"/>
      <x:c r="L813" s="43"/>
      <x:c r="M813" s="43"/>
      <x:c r="N813" s="43"/>
      <x:c r="O813" s="43"/>
      <x:c r="P813" s="43"/>
      <x:c r="Q813" s="43"/>
      <x:c r="R813" s="43"/>
      <x:c r="S813" s="43"/>
      <x:c r="T813" s="43"/>
      <x:c r="U813" s="43"/>
      <x:c r="V813" s="43"/>
      <x:c r="W813" s="43"/>
      <x:c r="X813" s="43"/>
      <x:c r="Y813" s="43"/>
      <x:c r="Z813" s="43"/>
      <x:c r="AA813" s="43"/>
      <x:c r="AB813" s="43"/>
      <x:c r="AC813" s="43"/>
      <x:c r="AD813" s="43"/>
      <x:c r="AE813" s="43"/>
      <x:c r="AF813" s="43"/>
      <x:c r="AG813" s="67"/>
      <x:c r="AH813" s="43"/>
      <x:c r="AI813" s="43"/>
    </x:row>
    <x:row r="814">
      <x:c r="A814" s="43"/>
      <x:c r="B814" s="43"/>
      <x:c r="C814" s="43"/>
      <x:c r="D814" s="43" t="str">
        <x:f>IF(C814="","",YEAR(C814))</x:f>
      </x:c>
      <x:c r="E814" s="43" t="str">
        <x:f>IF(C814="","",MONTH(C814))</x:f>
      </x:c>
      <x:c r="F814" s="43" t="str">
        <x:f>IF(C814="","",WEEKNUM(C814,21))</x:f>
      </x:c>
      <x:c r="G814" s="43" t="str">
        <x:f>IF(C814="","",CHOOSE(WEEKDAY(C814,2),"Lundi","Mardi","Mercredi","Jeudi","Vendredi","Samedi","Dimanche"))</x:f>
      </x:c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  <x:c r="AA814" s="43"/>
      <x:c r="AB814" s="43"/>
      <x:c r="AC814" s="43"/>
      <x:c r="AD814" s="43"/>
      <x:c r="AE814" s="43"/>
      <x:c r="AF814" s="43"/>
      <x:c r="AG814" s="67"/>
      <x:c r="AH814" s="43"/>
      <x:c r="AI814" s="43"/>
    </x:row>
    <x:row r="815">
      <x:c r="A815" s="43"/>
      <x:c r="B815" s="43"/>
      <x:c r="C815" s="43"/>
      <x:c r="D815" s="43" t="str">
        <x:f>IF(C815="","",YEAR(C815))</x:f>
      </x:c>
      <x:c r="E815" s="43" t="str">
        <x:f>IF(C815="","",MONTH(C815))</x:f>
      </x:c>
      <x:c r="F815" s="43" t="str">
        <x:f>IF(C815="","",WEEKNUM(C815,21))</x:f>
      </x:c>
      <x:c r="G815" s="43" t="str">
        <x:f>IF(C815="","",CHOOSE(WEEKDAY(C815,2),"Lundi","Mardi","Mercredi","Jeudi","Vendredi","Samedi","Dimanche"))</x:f>
      </x:c>
      <x:c r="H815" s="43"/>
      <x:c r="I815" s="43"/>
      <x:c r="J815" s="43"/>
      <x:c r="K815" s="43"/>
      <x:c r="L815" s="43"/>
      <x:c r="M815" s="43"/>
      <x:c r="N815" s="43"/>
      <x:c r="O815" s="43"/>
      <x:c r="P815" s="43"/>
      <x:c r="Q815" s="43"/>
      <x:c r="R815" s="43"/>
      <x:c r="S815" s="43"/>
      <x:c r="T815" s="43"/>
      <x:c r="U815" s="43"/>
      <x:c r="V815" s="43"/>
      <x:c r="W815" s="43"/>
      <x:c r="X815" s="43"/>
      <x:c r="Y815" s="43"/>
      <x:c r="Z815" s="43"/>
      <x:c r="AA815" s="43"/>
      <x:c r="AB815" s="43"/>
      <x:c r="AC815" s="43"/>
      <x:c r="AD815" s="43"/>
      <x:c r="AE815" s="43"/>
      <x:c r="AF815" s="43"/>
      <x:c r="AG815" s="67"/>
      <x:c r="AH815" s="43"/>
      <x:c r="AI815" s="43"/>
    </x:row>
    <x:row r="816">
      <x:c r="A816" s="43"/>
      <x:c r="B816" s="43"/>
      <x:c r="C816" s="43"/>
      <x:c r="D816" s="43" t="str">
        <x:f>IF(C816="","",YEAR(C816))</x:f>
      </x:c>
      <x:c r="E816" s="43" t="str">
        <x:f>IF(C816="","",MONTH(C816))</x:f>
      </x:c>
      <x:c r="F816" s="43" t="str">
        <x:f>IF(C816="","",WEEKNUM(C816,21))</x:f>
      </x:c>
      <x:c r="G816" s="43" t="str">
        <x:f>IF(C816="","",CHOOSE(WEEKDAY(C816,2),"Lundi","Mardi","Mercredi","Jeudi","Vendredi","Samedi","Dimanche"))</x:f>
      </x:c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  <x:c r="AA816" s="43"/>
      <x:c r="AB816" s="43"/>
      <x:c r="AC816" s="43"/>
      <x:c r="AD816" s="43"/>
      <x:c r="AE816" s="43"/>
      <x:c r="AF816" s="43"/>
      <x:c r="AG816" s="67"/>
      <x:c r="AH816" s="43"/>
      <x:c r="AI816" s="43"/>
    </x:row>
    <x:row r="817">
      <x:c r="A817" s="43"/>
      <x:c r="B817" s="43"/>
      <x:c r="C817" s="43"/>
      <x:c r="D817" s="43" t="str">
        <x:f>IF(C817="","",YEAR(C817))</x:f>
      </x:c>
      <x:c r="E817" s="43" t="str">
        <x:f>IF(C817="","",MONTH(C817))</x:f>
      </x:c>
      <x:c r="F817" s="43" t="str">
        <x:f>IF(C817="","",WEEKNUM(C817,21))</x:f>
      </x:c>
      <x:c r="G817" s="43" t="str">
        <x:f>IF(C817="","",CHOOSE(WEEKDAY(C817,2),"Lundi","Mardi","Mercredi","Jeudi","Vendredi","Samedi","Dimanche"))</x:f>
      </x:c>
      <x:c r="H817" s="43"/>
      <x:c r="I817" s="43"/>
      <x:c r="J817" s="43"/>
      <x:c r="K817" s="43"/>
      <x:c r="L817" s="43"/>
      <x:c r="M817" s="43"/>
      <x:c r="N817" s="43"/>
      <x:c r="O817" s="43"/>
      <x:c r="P817" s="43"/>
      <x:c r="Q817" s="43"/>
      <x:c r="R817" s="43"/>
      <x:c r="S817" s="43"/>
      <x:c r="T817" s="43"/>
      <x:c r="U817" s="43"/>
      <x:c r="V817" s="43"/>
      <x:c r="W817" s="43"/>
      <x:c r="X817" s="43"/>
      <x:c r="Y817" s="43"/>
      <x:c r="Z817" s="43"/>
      <x:c r="AA817" s="43"/>
      <x:c r="AB817" s="43"/>
      <x:c r="AC817" s="43"/>
      <x:c r="AD817" s="43"/>
      <x:c r="AE817" s="43"/>
      <x:c r="AF817" s="43"/>
      <x:c r="AG817" s="67"/>
      <x:c r="AH817" s="43"/>
      <x:c r="AI817" s="43"/>
    </x:row>
    <x:row r="818">
      <x:c r="A818" s="43"/>
      <x:c r="B818" s="43"/>
      <x:c r="C818" s="43"/>
      <x:c r="D818" s="43" t="str">
        <x:f>IF(C818="","",YEAR(C818))</x:f>
      </x:c>
      <x:c r="E818" s="43" t="str">
        <x:f>IF(C818="","",MONTH(C818))</x:f>
      </x:c>
      <x:c r="F818" s="43" t="str">
        <x:f>IF(C818="","",WEEKNUM(C818,21))</x:f>
      </x:c>
      <x:c r="G818" s="43" t="str">
        <x:f>IF(C818="","",CHOOSE(WEEKDAY(C818,2),"Lundi","Mardi","Mercredi","Jeudi","Vendredi","Samedi","Dimanche"))</x:f>
      </x:c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  <x:c r="AA818" s="43"/>
      <x:c r="AB818" s="43"/>
      <x:c r="AC818" s="43"/>
      <x:c r="AD818" s="43"/>
      <x:c r="AE818" s="43"/>
      <x:c r="AF818" s="43"/>
      <x:c r="AG818" s="67"/>
      <x:c r="AH818" s="43"/>
      <x:c r="AI818" s="43"/>
    </x:row>
    <x:row r="819">
      <x:c r="A819" s="43"/>
      <x:c r="B819" s="43"/>
      <x:c r="C819" s="43"/>
      <x:c r="D819" s="43" t="str">
        <x:f>IF(C819="","",YEAR(C819))</x:f>
      </x:c>
      <x:c r="E819" s="43" t="str">
        <x:f>IF(C819="","",MONTH(C819))</x:f>
      </x:c>
      <x:c r="F819" s="43" t="str">
        <x:f>IF(C819="","",WEEKNUM(C819,21))</x:f>
      </x:c>
      <x:c r="G819" s="43" t="str">
        <x:f>IF(C819="","",CHOOSE(WEEKDAY(C819,2),"Lundi","Mardi","Mercredi","Jeudi","Vendredi","Samedi","Dimanche"))</x:f>
      </x:c>
      <x:c r="H819" s="43"/>
      <x:c r="I819" s="43"/>
      <x:c r="J819" s="43"/>
      <x:c r="K819" s="43"/>
      <x:c r="L819" s="43"/>
      <x:c r="M819" s="43"/>
      <x:c r="N819" s="43"/>
      <x:c r="O819" s="43"/>
      <x:c r="P819" s="43"/>
      <x:c r="Q819" s="43"/>
      <x:c r="R819" s="43"/>
      <x:c r="S819" s="43"/>
      <x:c r="T819" s="43"/>
      <x:c r="U819" s="43"/>
      <x:c r="V819" s="43"/>
      <x:c r="W819" s="43"/>
      <x:c r="X819" s="43"/>
      <x:c r="Y819" s="43"/>
      <x:c r="Z819" s="43"/>
      <x:c r="AA819" s="43"/>
      <x:c r="AB819" s="43"/>
      <x:c r="AC819" s="43"/>
      <x:c r="AD819" s="43"/>
      <x:c r="AE819" s="43"/>
      <x:c r="AF819" s="43"/>
      <x:c r="AG819" s="67"/>
      <x:c r="AH819" s="43"/>
      <x:c r="AI819" s="43"/>
    </x:row>
    <x:row r="820">
      <x:c r="A820" s="43"/>
      <x:c r="B820" s="43"/>
      <x:c r="C820" s="43"/>
      <x:c r="D820" s="43" t="str">
        <x:f>IF(C820="","",YEAR(C820))</x:f>
      </x:c>
      <x:c r="E820" s="43" t="str">
        <x:f>IF(C820="","",MONTH(C820))</x:f>
      </x:c>
      <x:c r="F820" s="43" t="str">
        <x:f>IF(C820="","",WEEKNUM(C820,21))</x:f>
      </x:c>
      <x:c r="G820" s="43" t="str">
        <x:f>IF(C820="","",CHOOSE(WEEKDAY(C820,2),"Lundi","Mardi","Mercredi","Jeudi","Vendredi","Samedi","Dimanche"))</x:f>
      </x:c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  <x:c r="AA820" s="43"/>
      <x:c r="AB820" s="43"/>
      <x:c r="AC820" s="43"/>
      <x:c r="AD820" s="43"/>
      <x:c r="AE820" s="43"/>
      <x:c r="AF820" s="43"/>
      <x:c r="AG820" s="67"/>
      <x:c r="AH820" s="43"/>
      <x:c r="AI820" s="43"/>
    </x:row>
    <x:row r="821">
      <x:c r="A821" s="43"/>
      <x:c r="B821" s="43"/>
      <x:c r="C821" s="43"/>
      <x:c r="D821" s="43" t="str">
        <x:f>IF(C821="","",YEAR(C821))</x:f>
      </x:c>
      <x:c r="E821" s="43" t="str">
        <x:f>IF(C821="","",MONTH(C821))</x:f>
      </x:c>
      <x:c r="F821" s="43" t="str">
        <x:f>IF(C821="","",WEEKNUM(C821,21))</x:f>
      </x:c>
      <x:c r="G821" s="43" t="str">
        <x:f>IF(C821="","",CHOOSE(WEEKDAY(C821,2),"Lundi","Mardi","Mercredi","Jeudi","Vendredi","Samedi","Dimanche"))</x:f>
      </x:c>
      <x:c r="H821" s="43"/>
      <x:c r="I821" s="43"/>
      <x:c r="J821" s="43"/>
      <x:c r="K821" s="43"/>
      <x:c r="L821" s="43"/>
      <x:c r="M821" s="43"/>
      <x:c r="N821" s="43"/>
      <x:c r="O821" s="43"/>
      <x:c r="P821" s="43"/>
      <x:c r="Q821" s="43"/>
      <x:c r="R821" s="43"/>
      <x:c r="S821" s="43"/>
      <x:c r="T821" s="43"/>
      <x:c r="U821" s="43"/>
      <x:c r="V821" s="43"/>
      <x:c r="W821" s="43"/>
      <x:c r="X821" s="43"/>
      <x:c r="Y821" s="43"/>
      <x:c r="Z821" s="43"/>
      <x:c r="AA821" s="43"/>
      <x:c r="AB821" s="43"/>
      <x:c r="AC821" s="43"/>
      <x:c r="AD821" s="43"/>
      <x:c r="AE821" s="43"/>
      <x:c r="AF821" s="43"/>
      <x:c r="AG821" s="67"/>
      <x:c r="AH821" s="43"/>
      <x:c r="AI821" s="43"/>
    </x:row>
    <x:row r="822">
      <x:c r="A822" s="43"/>
      <x:c r="B822" s="43"/>
      <x:c r="C822" s="43"/>
      <x:c r="D822" s="43" t="str">
        <x:f>IF(C822="","",YEAR(C822))</x:f>
      </x:c>
      <x:c r="E822" s="43" t="str">
        <x:f>IF(C822="","",MONTH(C822))</x:f>
      </x:c>
      <x:c r="F822" s="43" t="str">
        <x:f>IF(C822="","",WEEKNUM(C822,21))</x:f>
      </x:c>
      <x:c r="G822" s="43" t="str">
        <x:f>IF(C822="","",CHOOSE(WEEKDAY(C822,2),"Lundi","Mardi","Mercredi","Jeudi","Vendredi","Samedi","Dimanche"))</x:f>
      </x:c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  <x:c r="AA822" s="43"/>
      <x:c r="AB822" s="43"/>
      <x:c r="AC822" s="43"/>
      <x:c r="AD822" s="43"/>
      <x:c r="AE822" s="43"/>
      <x:c r="AF822" s="43"/>
      <x:c r="AG822" s="67"/>
      <x:c r="AH822" s="43"/>
      <x:c r="AI822" s="43"/>
    </x:row>
    <x:row r="823">
      <x:c r="A823" s="43"/>
      <x:c r="B823" s="43"/>
      <x:c r="C823" s="43"/>
      <x:c r="D823" s="43" t="str">
        <x:f>IF(C823="","",YEAR(C823))</x:f>
      </x:c>
      <x:c r="E823" s="43" t="str">
        <x:f>IF(C823="","",MONTH(C823))</x:f>
      </x:c>
      <x:c r="F823" s="43" t="str">
        <x:f>IF(C823="","",WEEKNUM(C823,21))</x:f>
      </x:c>
      <x:c r="G823" s="43" t="str">
        <x:f>IF(C823="","",CHOOSE(WEEKDAY(C823,2),"Lundi","Mardi","Mercredi","Jeudi","Vendredi","Samedi","Dimanche"))</x:f>
      </x:c>
      <x:c r="H823" s="43"/>
      <x:c r="I823" s="43"/>
      <x:c r="J823" s="43"/>
      <x:c r="K823" s="43"/>
      <x:c r="L823" s="43"/>
      <x:c r="M823" s="43"/>
      <x:c r="N823" s="43"/>
      <x:c r="O823" s="43"/>
      <x:c r="P823" s="43"/>
      <x:c r="Q823" s="43"/>
      <x:c r="R823" s="43"/>
      <x:c r="S823" s="43"/>
      <x:c r="T823" s="43"/>
      <x:c r="U823" s="43"/>
      <x:c r="V823" s="43"/>
      <x:c r="W823" s="43"/>
      <x:c r="X823" s="43"/>
      <x:c r="Y823" s="43"/>
      <x:c r="Z823" s="43"/>
      <x:c r="AA823" s="43"/>
      <x:c r="AB823" s="43"/>
      <x:c r="AC823" s="43"/>
      <x:c r="AD823" s="43"/>
      <x:c r="AE823" s="43"/>
      <x:c r="AF823" s="43"/>
      <x:c r="AG823" s="67"/>
      <x:c r="AH823" s="43"/>
      <x:c r="AI823" s="43"/>
    </x:row>
    <x:row r="824">
      <x:c r="A824" s="43"/>
      <x:c r="B824" s="43"/>
      <x:c r="C824" s="43"/>
      <x:c r="D824" s="43" t="str">
        <x:f>IF(C824="","",YEAR(C824))</x:f>
      </x:c>
      <x:c r="E824" s="43" t="str">
        <x:f>IF(C824="","",MONTH(C824))</x:f>
      </x:c>
      <x:c r="F824" s="43" t="str">
        <x:f>IF(C824="","",WEEKNUM(C824,21))</x:f>
      </x:c>
      <x:c r="G824" s="43" t="str">
        <x:f>IF(C824="","",CHOOSE(WEEKDAY(C824,2),"Lundi","Mardi","Mercredi","Jeudi","Vendredi","Samedi","Dimanche"))</x:f>
      </x:c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  <x:c r="AA824" s="43"/>
      <x:c r="AB824" s="43"/>
      <x:c r="AC824" s="43"/>
      <x:c r="AD824" s="43"/>
      <x:c r="AE824" s="43"/>
      <x:c r="AF824" s="43"/>
      <x:c r="AG824" s="67"/>
      <x:c r="AH824" s="43"/>
      <x:c r="AI824" s="43"/>
    </x:row>
    <x:row r="825">
      <x:c r="A825" s="43"/>
      <x:c r="B825" s="43"/>
      <x:c r="C825" s="43"/>
      <x:c r="D825" s="43" t="str">
        <x:f>IF(C825="","",YEAR(C825))</x:f>
      </x:c>
      <x:c r="E825" s="43" t="str">
        <x:f>IF(C825="","",MONTH(C825))</x:f>
      </x:c>
      <x:c r="F825" s="43" t="str">
        <x:f>IF(C825="","",WEEKNUM(C825,21))</x:f>
      </x:c>
      <x:c r="G825" s="43" t="str">
        <x:f>IF(C825="","",CHOOSE(WEEKDAY(C825,2),"Lundi","Mardi","Mercredi","Jeudi","Vendredi","Samedi","Dimanche"))</x:f>
      </x:c>
      <x:c r="H825" s="43"/>
      <x:c r="I825" s="43"/>
      <x:c r="J825" s="43"/>
      <x:c r="K825" s="43"/>
      <x:c r="L825" s="43"/>
      <x:c r="M825" s="43"/>
      <x:c r="N825" s="43"/>
      <x:c r="O825" s="43"/>
      <x:c r="P825" s="43"/>
      <x:c r="Q825" s="43"/>
      <x:c r="R825" s="43"/>
      <x:c r="S825" s="43"/>
      <x:c r="T825" s="43"/>
      <x:c r="U825" s="43"/>
      <x:c r="V825" s="43"/>
      <x:c r="W825" s="43"/>
      <x:c r="X825" s="43"/>
      <x:c r="Y825" s="43"/>
      <x:c r="Z825" s="43"/>
      <x:c r="AA825" s="43"/>
      <x:c r="AB825" s="43"/>
      <x:c r="AC825" s="43"/>
      <x:c r="AD825" s="43"/>
      <x:c r="AE825" s="43"/>
      <x:c r="AF825" s="43"/>
      <x:c r="AG825" s="67"/>
      <x:c r="AH825" s="43"/>
      <x:c r="AI825" s="43"/>
    </x:row>
    <x:row r="826">
      <x:c r="A826" s="43"/>
      <x:c r="B826" s="43"/>
      <x:c r="C826" s="43"/>
      <x:c r="D826" s="43" t="str">
        <x:f>IF(C826="","",YEAR(C826))</x:f>
      </x:c>
      <x:c r="E826" s="43" t="str">
        <x:f>IF(C826="","",MONTH(C826))</x:f>
      </x:c>
      <x:c r="F826" s="43" t="str">
        <x:f>IF(C826="","",WEEKNUM(C826,21))</x:f>
      </x:c>
      <x:c r="G826" s="43" t="str">
        <x:f>IF(C826="","",CHOOSE(WEEKDAY(C826,2),"Lundi","Mardi","Mercredi","Jeudi","Vendredi","Samedi","Dimanche"))</x:f>
      </x:c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  <x:c r="AA826" s="43"/>
      <x:c r="AB826" s="43"/>
      <x:c r="AC826" s="43"/>
      <x:c r="AD826" s="43"/>
      <x:c r="AE826" s="43"/>
      <x:c r="AF826" s="43"/>
      <x:c r="AG826" s="67"/>
      <x:c r="AH826" s="43"/>
      <x:c r="AI826" s="43"/>
    </x:row>
    <x:row r="827">
      <x:c r="A827" s="43"/>
      <x:c r="B827" s="43"/>
      <x:c r="C827" s="43"/>
      <x:c r="D827" s="43" t="str">
        <x:f>IF(C827="","",YEAR(C827))</x:f>
      </x:c>
      <x:c r="E827" s="43" t="str">
        <x:f>IF(C827="","",MONTH(C827))</x:f>
      </x:c>
      <x:c r="F827" s="43" t="str">
        <x:f>IF(C827="","",WEEKNUM(C827,21))</x:f>
      </x:c>
      <x:c r="G827" s="43" t="str">
        <x:f>IF(C827="","",CHOOSE(WEEKDAY(C827,2),"Lundi","Mardi","Mercredi","Jeudi","Vendredi","Samedi","Dimanche"))</x:f>
      </x:c>
      <x:c r="H827" s="43"/>
      <x:c r="I827" s="43"/>
      <x:c r="J827" s="43"/>
      <x:c r="K827" s="43"/>
      <x:c r="L827" s="43"/>
      <x:c r="M827" s="43"/>
      <x:c r="N827" s="43"/>
      <x:c r="O827" s="43"/>
      <x:c r="P827" s="43"/>
      <x:c r="Q827" s="43"/>
      <x:c r="R827" s="43"/>
      <x:c r="S827" s="43"/>
      <x:c r="T827" s="43"/>
      <x:c r="U827" s="43"/>
      <x:c r="V827" s="43"/>
      <x:c r="W827" s="43"/>
      <x:c r="X827" s="43"/>
      <x:c r="Y827" s="43"/>
      <x:c r="Z827" s="43"/>
      <x:c r="AA827" s="43"/>
      <x:c r="AB827" s="43"/>
      <x:c r="AC827" s="43"/>
      <x:c r="AD827" s="43"/>
      <x:c r="AE827" s="43"/>
      <x:c r="AF827" s="43"/>
      <x:c r="AG827" s="67"/>
      <x:c r="AH827" s="43"/>
      <x:c r="AI827" s="43"/>
    </x:row>
    <x:row r="828">
      <x:c r="A828" s="43"/>
      <x:c r="B828" s="43"/>
      <x:c r="C828" s="43"/>
      <x:c r="D828" s="43" t="str">
        <x:f>IF(C828="","",YEAR(C828))</x:f>
      </x:c>
      <x:c r="E828" s="43" t="str">
        <x:f>IF(C828="","",MONTH(C828))</x:f>
      </x:c>
      <x:c r="F828" s="43" t="str">
        <x:f>IF(C828="","",WEEKNUM(C828,21))</x:f>
      </x:c>
      <x:c r="G828" s="43" t="str">
        <x:f>IF(C828="","",CHOOSE(WEEKDAY(C828,2),"Lundi","Mardi","Mercredi","Jeudi","Vendredi","Samedi","Dimanche"))</x:f>
      </x:c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  <x:c r="AA828" s="43"/>
      <x:c r="AB828" s="43"/>
      <x:c r="AC828" s="43"/>
      <x:c r="AD828" s="43"/>
      <x:c r="AE828" s="43"/>
      <x:c r="AF828" s="43"/>
      <x:c r="AG828" s="67"/>
      <x:c r="AH828" s="43"/>
      <x:c r="AI828" s="43"/>
    </x:row>
    <x:row r="829">
      <x:c r="A829" s="43"/>
      <x:c r="B829" s="43"/>
      <x:c r="C829" s="43"/>
      <x:c r="D829" s="43" t="str">
        <x:f>IF(C829="","",YEAR(C829))</x:f>
      </x:c>
      <x:c r="E829" s="43" t="str">
        <x:f>IF(C829="","",MONTH(C829))</x:f>
      </x:c>
      <x:c r="F829" s="43" t="str">
        <x:f>IF(C829="","",WEEKNUM(C829,21))</x:f>
      </x:c>
      <x:c r="G829" s="43" t="str">
        <x:f>IF(C829="","",CHOOSE(WEEKDAY(C829,2),"Lundi","Mardi","Mercredi","Jeudi","Vendredi","Samedi","Dimanche"))</x:f>
      </x:c>
      <x:c r="H829" s="43"/>
      <x:c r="I829" s="43"/>
      <x:c r="J829" s="43"/>
      <x:c r="K829" s="43"/>
      <x:c r="L829" s="43"/>
      <x:c r="M829" s="43"/>
      <x:c r="N829" s="43"/>
      <x:c r="O829" s="43"/>
      <x:c r="P829" s="43"/>
      <x:c r="Q829" s="43"/>
      <x:c r="R829" s="43"/>
      <x:c r="S829" s="43"/>
      <x:c r="T829" s="43"/>
      <x:c r="U829" s="43"/>
      <x:c r="V829" s="43"/>
      <x:c r="W829" s="43"/>
      <x:c r="X829" s="43"/>
      <x:c r="Y829" s="43"/>
      <x:c r="Z829" s="43"/>
      <x:c r="AA829" s="43"/>
      <x:c r="AB829" s="43"/>
      <x:c r="AC829" s="43"/>
      <x:c r="AD829" s="43"/>
      <x:c r="AE829" s="43"/>
      <x:c r="AF829" s="43"/>
      <x:c r="AG829" s="67"/>
      <x:c r="AH829" s="43"/>
      <x:c r="AI829" s="43"/>
    </x:row>
    <x:row r="830">
      <x:c r="A830" s="43"/>
      <x:c r="B830" s="43"/>
      <x:c r="C830" s="43"/>
      <x:c r="D830" s="43" t="str">
        <x:f>IF(C830="","",YEAR(C830))</x:f>
      </x:c>
      <x:c r="E830" s="43" t="str">
        <x:f>IF(C830="","",MONTH(C830))</x:f>
      </x:c>
      <x:c r="F830" s="43" t="str">
        <x:f>IF(C830="","",WEEKNUM(C830,21))</x:f>
      </x:c>
      <x:c r="G830" s="43" t="str">
        <x:f>IF(C830="","",CHOOSE(WEEKDAY(C830,2),"Lundi","Mardi","Mercredi","Jeudi","Vendredi","Samedi","Dimanche"))</x:f>
      </x:c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  <x:c r="AA830" s="43"/>
      <x:c r="AB830" s="43"/>
      <x:c r="AC830" s="43"/>
      <x:c r="AD830" s="43"/>
      <x:c r="AE830" s="43"/>
      <x:c r="AF830" s="43"/>
      <x:c r="AG830" s="67"/>
      <x:c r="AH830" s="43"/>
      <x:c r="AI830" s="43"/>
    </x:row>
    <x:row r="831">
      <x:c r="A831" s="43"/>
      <x:c r="B831" s="43"/>
      <x:c r="C831" s="43"/>
      <x:c r="D831" s="43" t="str">
        <x:f>IF(C831="","",YEAR(C831))</x:f>
      </x:c>
      <x:c r="E831" s="43" t="str">
        <x:f>IF(C831="","",MONTH(C831))</x:f>
      </x:c>
      <x:c r="F831" s="43" t="str">
        <x:f>IF(C831="","",WEEKNUM(C831,21))</x:f>
      </x:c>
      <x:c r="G831" s="43" t="str">
        <x:f>IF(C831="","",CHOOSE(WEEKDAY(C831,2),"Lundi","Mardi","Mercredi","Jeudi","Vendredi","Samedi","Dimanche"))</x:f>
      </x:c>
      <x:c r="H831" s="43"/>
      <x:c r="I831" s="43"/>
      <x:c r="J831" s="43"/>
      <x:c r="K831" s="43"/>
      <x:c r="L831" s="43"/>
      <x:c r="M831" s="43"/>
      <x:c r="N831" s="43"/>
      <x:c r="O831" s="43"/>
      <x:c r="P831" s="43"/>
      <x:c r="Q831" s="43"/>
      <x:c r="R831" s="43"/>
      <x:c r="S831" s="43"/>
      <x:c r="T831" s="43"/>
      <x:c r="U831" s="43"/>
      <x:c r="V831" s="43"/>
      <x:c r="W831" s="43"/>
      <x:c r="X831" s="43"/>
      <x:c r="Y831" s="43"/>
      <x:c r="Z831" s="43"/>
      <x:c r="AA831" s="43"/>
      <x:c r="AB831" s="43"/>
      <x:c r="AC831" s="43"/>
      <x:c r="AD831" s="43"/>
      <x:c r="AE831" s="43"/>
      <x:c r="AF831" s="43"/>
      <x:c r="AG831" s="67"/>
      <x:c r="AH831" s="43"/>
      <x:c r="AI831" s="43"/>
    </x:row>
    <x:row r="832">
      <x:c r="A832" s="43"/>
      <x:c r="B832" s="43"/>
      <x:c r="C832" s="43"/>
      <x:c r="D832" s="43" t="str">
        <x:f>IF(C832="","",YEAR(C832))</x:f>
      </x:c>
      <x:c r="E832" s="43" t="str">
        <x:f>IF(C832="","",MONTH(C832))</x:f>
      </x:c>
      <x:c r="F832" s="43" t="str">
        <x:f>IF(C832="","",WEEKNUM(C832,21))</x:f>
      </x:c>
      <x:c r="G832" s="43" t="str">
        <x:f>IF(C832="","",CHOOSE(WEEKDAY(C832,2),"Lundi","Mardi","Mercredi","Jeudi","Vendredi","Samedi","Dimanche"))</x:f>
      </x:c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  <x:c r="AA832" s="43"/>
      <x:c r="AB832" s="43"/>
      <x:c r="AC832" s="43"/>
      <x:c r="AD832" s="43"/>
      <x:c r="AE832" s="43"/>
      <x:c r="AF832" s="43"/>
      <x:c r="AG832" s="67"/>
      <x:c r="AH832" s="43"/>
      <x:c r="AI832" s="43"/>
    </x:row>
    <x:row r="833">
      <x:c r="A833" s="43"/>
      <x:c r="B833" s="43"/>
      <x:c r="C833" s="43"/>
      <x:c r="D833" s="43" t="str">
        <x:f>IF(C833="","",YEAR(C833))</x:f>
      </x:c>
      <x:c r="E833" s="43" t="str">
        <x:f>IF(C833="","",MONTH(C833))</x:f>
      </x:c>
      <x:c r="F833" s="43" t="str">
        <x:f>IF(C833="","",WEEKNUM(C833,21))</x:f>
      </x:c>
      <x:c r="G833" s="43" t="str">
        <x:f>IF(C833="","",CHOOSE(WEEKDAY(C833,2),"Lundi","Mardi","Mercredi","Jeudi","Vendredi","Samedi","Dimanche"))</x:f>
      </x:c>
      <x:c r="H833" s="43"/>
      <x:c r="I833" s="43"/>
      <x:c r="J833" s="43"/>
      <x:c r="K833" s="43"/>
      <x:c r="L833" s="43"/>
      <x:c r="M833" s="43"/>
      <x:c r="N833" s="43"/>
      <x:c r="O833" s="43"/>
      <x:c r="P833" s="43"/>
      <x:c r="Q833" s="43"/>
      <x:c r="R833" s="43"/>
      <x:c r="S833" s="43"/>
      <x:c r="T833" s="43"/>
      <x:c r="U833" s="43"/>
      <x:c r="V833" s="43"/>
      <x:c r="W833" s="43"/>
      <x:c r="X833" s="43"/>
      <x:c r="Y833" s="43"/>
      <x:c r="Z833" s="43"/>
      <x:c r="AA833" s="43"/>
      <x:c r="AB833" s="43"/>
      <x:c r="AC833" s="43"/>
      <x:c r="AD833" s="43"/>
      <x:c r="AE833" s="43"/>
      <x:c r="AF833" s="43"/>
      <x:c r="AG833" s="67"/>
      <x:c r="AH833" s="43"/>
      <x:c r="AI833" s="43"/>
    </x:row>
    <x:row r="834">
      <x:c r="A834" s="43"/>
      <x:c r="B834" s="43"/>
      <x:c r="C834" s="43"/>
      <x:c r="D834" s="43" t="str">
        <x:f>IF(C834="","",YEAR(C834))</x:f>
      </x:c>
      <x:c r="E834" s="43" t="str">
        <x:f>IF(C834="","",MONTH(C834))</x:f>
      </x:c>
      <x:c r="F834" s="43" t="str">
        <x:f>IF(C834="","",WEEKNUM(C834,21))</x:f>
      </x:c>
      <x:c r="G834" s="43" t="str">
        <x:f>IF(C834="","",CHOOSE(WEEKDAY(C834,2),"Lundi","Mardi","Mercredi","Jeudi","Vendredi","Samedi","Dimanche"))</x:f>
      </x:c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  <x:c r="AA834" s="43"/>
      <x:c r="AB834" s="43"/>
      <x:c r="AC834" s="43"/>
      <x:c r="AD834" s="43"/>
      <x:c r="AE834" s="43"/>
      <x:c r="AF834" s="43"/>
      <x:c r="AG834" s="67"/>
      <x:c r="AH834" s="43"/>
      <x:c r="AI834" s="43"/>
    </x:row>
    <x:row r="835">
      <x:c r="A835" s="43"/>
      <x:c r="B835" s="43"/>
      <x:c r="C835" s="43"/>
      <x:c r="D835" s="43" t="str">
        <x:f>IF(C835="","",YEAR(C835))</x:f>
      </x:c>
      <x:c r="E835" s="43" t="str">
        <x:f>IF(C835="","",MONTH(C835))</x:f>
      </x:c>
      <x:c r="F835" s="43" t="str">
        <x:f>IF(C835="","",WEEKNUM(C835,21))</x:f>
      </x:c>
      <x:c r="G835" s="43" t="str">
        <x:f>IF(C835="","",CHOOSE(WEEKDAY(C835,2),"Lundi","Mardi","Mercredi","Jeudi","Vendredi","Samedi","Dimanche"))</x:f>
      </x:c>
      <x:c r="H835" s="43"/>
      <x:c r="I835" s="43"/>
      <x:c r="J835" s="43"/>
      <x:c r="K835" s="43"/>
      <x:c r="L835" s="43"/>
      <x:c r="M835" s="43"/>
      <x:c r="N835" s="43"/>
      <x:c r="O835" s="43"/>
      <x:c r="P835" s="43"/>
      <x:c r="Q835" s="43"/>
      <x:c r="R835" s="43"/>
      <x:c r="S835" s="43"/>
      <x:c r="T835" s="43"/>
      <x:c r="U835" s="43"/>
      <x:c r="V835" s="43"/>
      <x:c r="W835" s="43"/>
      <x:c r="X835" s="43"/>
      <x:c r="Y835" s="43"/>
      <x:c r="Z835" s="43"/>
      <x:c r="AA835" s="43"/>
      <x:c r="AB835" s="43"/>
      <x:c r="AC835" s="43"/>
      <x:c r="AD835" s="43"/>
      <x:c r="AE835" s="43"/>
      <x:c r="AF835" s="43"/>
      <x:c r="AG835" s="67"/>
      <x:c r="AH835" s="43"/>
      <x:c r="AI835" s="43"/>
    </x:row>
    <x:row r="836">
      <x:c r="A836" s="43"/>
      <x:c r="B836" s="43"/>
      <x:c r="C836" s="43"/>
      <x:c r="D836" s="43" t="str">
        <x:f>IF(C836="","",YEAR(C836))</x:f>
      </x:c>
      <x:c r="E836" s="43" t="str">
        <x:f>IF(C836="","",MONTH(C836))</x:f>
      </x:c>
      <x:c r="F836" s="43" t="str">
        <x:f>IF(C836="","",WEEKNUM(C836,21))</x:f>
      </x:c>
      <x:c r="G836" s="43" t="str">
        <x:f>IF(C836="","",CHOOSE(WEEKDAY(C836,2),"Lundi","Mardi","Mercredi","Jeudi","Vendredi","Samedi","Dimanche"))</x:f>
      </x:c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  <x:c r="AA836" s="43"/>
      <x:c r="AB836" s="43"/>
      <x:c r="AC836" s="43"/>
      <x:c r="AD836" s="43"/>
      <x:c r="AE836" s="43"/>
      <x:c r="AF836" s="43"/>
      <x:c r="AG836" s="67"/>
      <x:c r="AH836" s="43"/>
      <x:c r="AI836" s="43"/>
    </x:row>
    <x:row r="837">
      <x:c r="A837" s="43"/>
      <x:c r="B837" s="43"/>
      <x:c r="C837" s="43"/>
      <x:c r="D837" s="43" t="str">
        <x:f>IF(C837="","",YEAR(C837))</x:f>
      </x:c>
      <x:c r="E837" s="43" t="str">
        <x:f>IF(C837="","",MONTH(C837))</x:f>
      </x:c>
      <x:c r="F837" s="43" t="str">
        <x:f>IF(C837="","",WEEKNUM(C837,21))</x:f>
      </x:c>
      <x:c r="G837" s="43" t="str">
        <x:f>IF(C837="","",CHOOSE(WEEKDAY(C837,2),"Lundi","Mardi","Mercredi","Jeudi","Vendredi","Samedi","Dimanche"))</x:f>
      </x:c>
      <x:c r="H837" s="43"/>
      <x:c r="I837" s="43"/>
      <x:c r="J837" s="43"/>
      <x:c r="K837" s="43"/>
      <x:c r="L837" s="43"/>
      <x:c r="M837" s="43"/>
      <x:c r="N837" s="43"/>
      <x:c r="O837" s="43"/>
      <x:c r="P837" s="43"/>
      <x:c r="Q837" s="43"/>
      <x:c r="R837" s="43"/>
      <x:c r="S837" s="43"/>
      <x:c r="T837" s="43"/>
      <x:c r="U837" s="43"/>
      <x:c r="V837" s="43"/>
      <x:c r="W837" s="43"/>
      <x:c r="X837" s="43"/>
      <x:c r="Y837" s="43"/>
      <x:c r="Z837" s="43"/>
      <x:c r="AA837" s="43"/>
      <x:c r="AB837" s="43"/>
      <x:c r="AC837" s="43"/>
      <x:c r="AD837" s="43"/>
      <x:c r="AE837" s="43"/>
      <x:c r="AF837" s="43"/>
      <x:c r="AG837" s="67"/>
      <x:c r="AH837" s="43"/>
      <x:c r="AI837" s="43"/>
    </x:row>
    <x:row r="838">
      <x:c r="A838" s="43"/>
      <x:c r="B838" s="43"/>
      <x:c r="C838" s="43"/>
      <x:c r="D838" s="43" t="str">
        <x:f>IF(C838="","",YEAR(C838))</x:f>
      </x:c>
      <x:c r="E838" s="43" t="str">
        <x:f>IF(C838="","",MONTH(C838))</x:f>
      </x:c>
      <x:c r="F838" s="43" t="str">
        <x:f>IF(C838="","",WEEKNUM(C838,21))</x:f>
      </x:c>
      <x:c r="G838" s="43" t="str">
        <x:f>IF(C838="","",CHOOSE(WEEKDAY(C838,2),"Lundi","Mardi","Mercredi","Jeudi","Vendredi","Samedi","Dimanche"))</x:f>
      </x:c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  <x:c r="AA838" s="43"/>
      <x:c r="AB838" s="43"/>
      <x:c r="AC838" s="43"/>
      <x:c r="AD838" s="43"/>
      <x:c r="AE838" s="43"/>
      <x:c r="AF838" s="43"/>
      <x:c r="AG838" s="67"/>
      <x:c r="AH838" s="43"/>
      <x:c r="AI838" s="43"/>
    </x:row>
    <x:row r="839">
      <x:c r="A839" s="43"/>
      <x:c r="B839" s="43"/>
      <x:c r="C839" s="43"/>
      <x:c r="D839" s="43" t="str">
        <x:f>IF(C839="","",YEAR(C839))</x:f>
      </x:c>
      <x:c r="E839" s="43" t="str">
        <x:f>IF(C839="","",MONTH(C839))</x:f>
      </x:c>
      <x:c r="F839" s="43" t="str">
        <x:f>IF(C839="","",WEEKNUM(C839,21))</x:f>
      </x:c>
      <x:c r="G839" s="43" t="str">
        <x:f>IF(C839="","",CHOOSE(WEEKDAY(C839,2),"Lundi","Mardi","Mercredi","Jeudi","Vendredi","Samedi","Dimanche"))</x:f>
      </x:c>
      <x:c r="H839" s="43"/>
      <x:c r="I839" s="43"/>
      <x:c r="J839" s="43"/>
      <x:c r="K839" s="43"/>
      <x:c r="L839" s="43"/>
      <x:c r="M839" s="43"/>
      <x:c r="N839" s="43"/>
      <x:c r="O839" s="43"/>
      <x:c r="P839" s="43"/>
      <x:c r="Q839" s="43"/>
      <x:c r="R839" s="43"/>
      <x:c r="S839" s="43"/>
      <x:c r="T839" s="43"/>
      <x:c r="U839" s="43"/>
      <x:c r="V839" s="43"/>
      <x:c r="W839" s="43"/>
      <x:c r="X839" s="43"/>
      <x:c r="Y839" s="43"/>
      <x:c r="Z839" s="43"/>
      <x:c r="AA839" s="43"/>
      <x:c r="AB839" s="43"/>
      <x:c r="AC839" s="43"/>
      <x:c r="AD839" s="43"/>
      <x:c r="AE839" s="43"/>
      <x:c r="AF839" s="43"/>
      <x:c r="AG839" s="67"/>
      <x:c r="AH839" s="43"/>
      <x:c r="AI839" s="43"/>
    </x:row>
    <x:row r="840">
      <x:c r="A840" s="43"/>
      <x:c r="B840" s="43"/>
      <x:c r="C840" s="43"/>
      <x:c r="D840" s="43" t="str">
        <x:f>IF(C840="","",YEAR(C840))</x:f>
      </x:c>
      <x:c r="E840" s="43" t="str">
        <x:f>IF(C840="","",MONTH(C840))</x:f>
      </x:c>
      <x:c r="F840" s="43" t="str">
        <x:f>IF(C840="","",WEEKNUM(C840,21))</x:f>
      </x:c>
      <x:c r="G840" s="43" t="str">
        <x:f>IF(C840="","",CHOOSE(WEEKDAY(C840,2),"Lundi","Mardi","Mercredi","Jeudi","Vendredi","Samedi","Dimanche"))</x:f>
      </x:c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  <x:c r="AA840" s="43"/>
      <x:c r="AB840" s="43"/>
      <x:c r="AC840" s="43"/>
      <x:c r="AD840" s="43"/>
      <x:c r="AE840" s="43"/>
      <x:c r="AF840" s="43"/>
      <x:c r="AG840" s="67"/>
      <x:c r="AH840" s="43"/>
      <x:c r="AI840" s="43"/>
    </x:row>
    <x:row r="841">
      <x:c r="A841" s="43"/>
      <x:c r="B841" s="43"/>
      <x:c r="C841" s="43"/>
      <x:c r="D841" s="43" t="str">
        <x:f>IF(C841="","",YEAR(C841))</x:f>
      </x:c>
      <x:c r="E841" s="43" t="str">
        <x:f>IF(C841="","",MONTH(C841))</x:f>
      </x:c>
      <x:c r="F841" s="43" t="str">
        <x:f>IF(C841="","",WEEKNUM(C841,21))</x:f>
      </x:c>
      <x:c r="G841" s="43" t="str">
        <x:f>IF(C841="","",CHOOSE(WEEKDAY(C841,2),"Lundi","Mardi","Mercredi","Jeudi","Vendredi","Samedi","Dimanche"))</x:f>
      </x:c>
      <x:c r="H841" s="43"/>
      <x:c r="I841" s="43"/>
      <x:c r="J841" s="43"/>
      <x:c r="K841" s="43"/>
      <x:c r="L841" s="43"/>
      <x:c r="M841" s="43"/>
      <x:c r="N841" s="43"/>
      <x:c r="O841" s="43"/>
      <x:c r="P841" s="43"/>
      <x:c r="Q841" s="43"/>
      <x:c r="R841" s="43"/>
      <x:c r="S841" s="43"/>
      <x:c r="T841" s="43"/>
      <x:c r="U841" s="43"/>
      <x:c r="V841" s="43"/>
      <x:c r="W841" s="43"/>
      <x:c r="X841" s="43"/>
      <x:c r="Y841" s="43"/>
      <x:c r="Z841" s="43"/>
      <x:c r="AA841" s="43"/>
      <x:c r="AB841" s="43"/>
      <x:c r="AC841" s="43"/>
      <x:c r="AD841" s="43"/>
      <x:c r="AE841" s="43"/>
      <x:c r="AF841" s="43"/>
      <x:c r="AG841" s="67"/>
      <x:c r="AH841" s="43"/>
      <x:c r="AI841" s="43"/>
    </x:row>
    <x:row r="842">
      <x:c r="A842" s="43"/>
      <x:c r="B842" s="43"/>
      <x:c r="C842" s="43"/>
      <x:c r="D842" s="43" t="str">
        <x:f>IF(C842="","",YEAR(C842))</x:f>
      </x:c>
      <x:c r="E842" s="43" t="str">
        <x:f>IF(C842="","",MONTH(C842))</x:f>
      </x:c>
      <x:c r="F842" s="43" t="str">
        <x:f>IF(C842="","",WEEKNUM(C842,21))</x:f>
      </x:c>
      <x:c r="G842" s="43" t="str">
        <x:f>IF(C842="","",CHOOSE(WEEKDAY(C842,2),"Lundi","Mardi","Mercredi","Jeudi","Vendredi","Samedi","Dimanche"))</x:f>
      </x:c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  <x:c r="AA842" s="43"/>
      <x:c r="AB842" s="43"/>
      <x:c r="AC842" s="43"/>
      <x:c r="AD842" s="43"/>
      <x:c r="AE842" s="43"/>
      <x:c r="AF842" s="43"/>
      <x:c r="AG842" s="67"/>
      <x:c r="AH842" s="43"/>
      <x:c r="AI842" s="43"/>
    </x:row>
    <x:row r="843">
      <x:c r="A843" s="43"/>
      <x:c r="B843" s="43"/>
      <x:c r="C843" s="43"/>
      <x:c r="D843" s="43" t="str">
        <x:f>IF(C843="","",YEAR(C843))</x:f>
      </x:c>
      <x:c r="E843" s="43" t="str">
        <x:f>IF(C843="","",MONTH(C843))</x:f>
      </x:c>
      <x:c r="F843" s="43" t="str">
        <x:f>IF(C843="","",WEEKNUM(C843,21))</x:f>
      </x:c>
      <x:c r="G843" s="43" t="str">
        <x:f>IF(C843="","",CHOOSE(WEEKDAY(C843,2),"Lundi","Mardi","Mercredi","Jeudi","Vendredi","Samedi","Dimanche"))</x:f>
      </x:c>
      <x:c r="H843" s="43"/>
      <x:c r="I843" s="43"/>
      <x:c r="J843" s="43"/>
      <x:c r="K843" s="43"/>
      <x:c r="L843" s="43"/>
      <x:c r="M843" s="43"/>
      <x:c r="N843" s="43"/>
      <x:c r="O843" s="43"/>
      <x:c r="P843" s="43"/>
      <x:c r="Q843" s="43"/>
      <x:c r="R843" s="43"/>
      <x:c r="S843" s="43"/>
      <x:c r="T843" s="43"/>
      <x:c r="U843" s="43"/>
      <x:c r="V843" s="43"/>
      <x:c r="W843" s="43"/>
      <x:c r="X843" s="43"/>
      <x:c r="Y843" s="43"/>
      <x:c r="Z843" s="43"/>
      <x:c r="AA843" s="43"/>
      <x:c r="AB843" s="43"/>
      <x:c r="AC843" s="43"/>
      <x:c r="AD843" s="43"/>
      <x:c r="AE843" s="43"/>
      <x:c r="AF843" s="43"/>
      <x:c r="AG843" s="67"/>
      <x:c r="AH843" s="43"/>
      <x:c r="AI843" s="43"/>
    </x:row>
    <x:row r="844">
      <x:c r="A844" s="43"/>
      <x:c r="B844" s="43"/>
      <x:c r="C844" s="43"/>
      <x:c r="D844" s="43" t="str">
        <x:f>IF(C844="","",YEAR(C844))</x:f>
      </x:c>
      <x:c r="E844" s="43" t="str">
        <x:f>IF(C844="","",MONTH(C844))</x:f>
      </x:c>
      <x:c r="F844" s="43" t="str">
        <x:f>IF(C844="","",WEEKNUM(C844,21))</x:f>
      </x:c>
      <x:c r="G844" s="43" t="str">
        <x:f>IF(C844="","",CHOOSE(WEEKDAY(C844,2),"Lundi","Mardi","Mercredi","Jeudi","Vendredi","Samedi","Dimanche"))</x:f>
      </x:c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  <x:c r="AA844" s="43"/>
      <x:c r="AB844" s="43"/>
      <x:c r="AC844" s="43"/>
      <x:c r="AD844" s="43"/>
      <x:c r="AE844" s="43"/>
      <x:c r="AF844" s="43"/>
      <x:c r="AG844" s="67"/>
      <x:c r="AH844" s="43"/>
      <x:c r="AI844" s="43"/>
    </x:row>
    <x:row r="845">
      <x:c r="A845" s="43"/>
      <x:c r="B845" s="43"/>
      <x:c r="C845" s="43"/>
      <x:c r="D845" s="43" t="str">
        <x:f>IF(C845="","",YEAR(C845))</x:f>
      </x:c>
      <x:c r="E845" s="43" t="str">
        <x:f>IF(C845="","",MONTH(C845))</x:f>
      </x:c>
      <x:c r="F845" s="43" t="str">
        <x:f>IF(C845="","",WEEKNUM(C845,21))</x:f>
      </x:c>
      <x:c r="G845" s="43" t="str">
        <x:f>IF(C845="","",CHOOSE(WEEKDAY(C845,2),"Lundi","Mardi","Mercredi","Jeudi","Vendredi","Samedi","Dimanche"))</x:f>
      </x:c>
      <x:c r="H845" s="43"/>
      <x:c r="I845" s="43"/>
      <x:c r="J845" s="43"/>
      <x:c r="K845" s="43"/>
      <x:c r="L845" s="43"/>
      <x:c r="M845" s="43"/>
      <x:c r="N845" s="43"/>
      <x:c r="O845" s="43"/>
      <x:c r="P845" s="43"/>
      <x:c r="Q845" s="43"/>
      <x:c r="R845" s="43"/>
      <x:c r="S845" s="43"/>
      <x:c r="T845" s="43"/>
      <x:c r="U845" s="43"/>
      <x:c r="V845" s="43"/>
      <x:c r="W845" s="43"/>
      <x:c r="X845" s="43"/>
      <x:c r="Y845" s="43"/>
      <x:c r="Z845" s="43"/>
      <x:c r="AA845" s="43"/>
      <x:c r="AB845" s="43"/>
      <x:c r="AC845" s="43"/>
      <x:c r="AD845" s="43"/>
      <x:c r="AE845" s="43"/>
      <x:c r="AF845" s="43"/>
      <x:c r="AG845" s="67"/>
      <x:c r="AH845" s="43"/>
      <x:c r="AI845" s="43"/>
    </x:row>
    <x:row r="846">
      <x:c r="A846" s="43"/>
      <x:c r="B846" s="43"/>
      <x:c r="C846" s="43"/>
      <x:c r="D846" s="43" t="str">
        <x:f>IF(C846="","",YEAR(C846))</x:f>
      </x:c>
      <x:c r="E846" s="43" t="str">
        <x:f>IF(C846="","",MONTH(C846))</x:f>
      </x:c>
      <x:c r="F846" s="43" t="str">
        <x:f>IF(C846="","",WEEKNUM(C846,21))</x:f>
      </x:c>
      <x:c r="G846" s="43" t="str">
        <x:f>IF(C846="","",CHOOSE(WEEKDAY(C846,2),"Lundi","Mardi","Mercredi","Jeudi","Vendredi","Samedi","Dimanche"))</x:f>
      </x:c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  <x:c r="AA846" s="43"/>
      <x:c r="AB846" s="43"/>
      <x:c r="AC846" s="43"/>
      <x:c r="AD846" s="43"/>
      <x:c r="AE846" s="43"/>
      <x:c r="AF846" s="43"/>
      <x:c r="AG846" s="67"/>
      <x:c r="AH846" s="43"/>
      <x:c r="AI846" s="43"/>
    </x:row>
    <x:row r="847">
      <x:c r="A847" s="43"/>
      <x:c r="B847" s="43"/>
      <x:c r="C847" s="43"/>
      <x:c r="D847" s="43" t="str">
        <x:f>IF(C847="","",YEAR(C847))</x:f>
      </x:c>
      <x:c r="E847" s="43" t="str">
        <x:f>IF(C847="","",MONTH(C847))</x:f>
      </x:c>
      <x:c r="F847" s="43" t="str">
        <x:f>IF(C847="","",WEEKNUM(C847,21))</x:f>
      </x:c>
      <x:c r="G847" s="43" t="str">
        <x:f>IF(C847="","",CHOOSE(WEEKDAY(C847,2),"Lundi","Mardi","Mercredi","Jeudi","Vendredi","Samedi","Dimanche"))</x:f>
      </x:c>
      <x:c r="H847" s="43"/>
      <x:c r="I847" s="43"/>
      <x:c r="J847" s="43"/>
      <x:c r="K847" s="43"/>
      <x:c r="L847" s="43"/>
      <x:c r="M847" s="43"/>
      <x:c r="N847" s="43"/>
      <x:c r="O847" s="43"/>
      <x:c r="P847" s="43"/>
      <x:c r="Q847" s="43"/>
      <x:c r="R847" s="43"/>
      <x:c r="S847" s="43"/>
      <x:c r="T847" s="43"/>
      <x:c r="U847" s="43"/>
      <x:c r="V847" s="43"/>
      <x:c r="W847" s="43"/>
      <x:c r="X847" s="43"/>
      <x:c r="Y847" s="43"/>
      <x:c r="Z847" s="43"/>
      <x:c r="AA847" s="43"/>
      <x:c r="AB847" s="43"/>
      <x:c r="AC847" s="43"/>
      <x:c r="AD847" s="43"/>
      <x:c r="AE847" s="43"/>
      <x:c r="AF847" s="43"/>
      <x:c r="AG847" s="67"/>
      <x:c r="AH847" s="43"/>
      <x:c r="AI847" s="43"/>
    </x:row>
    <x:row r="848">
      <x:c r="A848" s="43"/>
      <x:c r="B848" s="43"/>
      <x:c r="C848" s="43"/>
      <x:c r="D848" s="43" t="str">
        <x:f>IF(C848="","",YEAR(C848))</x:f>
      </x:c>
      <x:c r="E848" s="43" t="str">
        <x:f>IF(C848="","",MONTH(C848))</x:f>
      </x:c>
      <x:c r="F848" s="43" t="str">
        <x:f>IF(C848="","",WEEKNUM(C848,21))</x:f>
      </x:c>
      <x:c r="G848" s="43" t="str">
        <x:f>IF(C848="","",CHOOSE(WEEKDAY(C848,2),"Lundi","Mardi","Mercredi","Jeudi","Vendredi","Samedi","Dimanche"))</x:f>
      </x:c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  <x:c r="AA848" s="43"/>
      <x:c r="AB848" s="43"/>
      <x:c r="AC848" s="43"/>
      <x:c r="AD848" s="43"/>
      <x:c r="AE848" s="43"/>
      <x:c r="AF848" s="43"/>
      <x:c r="AG848" s="67"/>
      <x:c r="AH848" s="43"/>
      <x:c r="AI848" s="43"/>
    </x:row>
    <x:row r="849">
      <x:c r="A849" s="43"/>
      <x:c r="B849" s="43"/>
      <x:c r="C849" s="43"/>
      <x:c r="D849" s="43" t="str">
        <x:f>IF(C849="","",YEAR(C849))</x:f>
      </x:c>
      <x:c r="E849" s="43" t="str">
        <x:f>IF(C849="","",MONTH(C849))</x:f>
      </x:c>
      <x:c r="F849" s="43" t="str">
        <x:f>IF(C849="","",WEEKNUM(C849,21))</x:f>
      </x:c>
      <x:c r="G849" s="43" t="str">
        <x:f>IF(C849="","",CHOOSE(WEEKDAY(C849,2),"Lundi","Mardi","Mercredi","Jeudi","Vendredi","Samedi","Dimanche"))</x:f>
      </x:c>
      <x:c r="H849" s="43"/>
      <x:c r="I849" s="43"/>
      <x:c r="J849" s="43"/>
      <x:c r="K849" s="43"/>
      <x:c r="L849" s="43"/>
      <x:c r="M849" s="43"/>
      <x:c r="N849" s="43"/>
      <x:c r="O849" s="43"/>
      <x:c r="P849" s="43"/>
      <x:c r="Q849" s="43"/>
      <x:c r="R849" s="43"/>
      <x:c r="S849" s="43"/>
      <x:c r="T849" s="43"/>
      <x:c r="U849" s="43"/>
      <x:c r="V849" s="43"/>
      <x:c r="W849" s="43"/>
      <x:c r="X849" s="43"/>
      <x:c r="Y849" s="43"/>
      <x:c r="Z849" s="43"/>
      <x:c r="AA849" s="43"/>
      <x:c r="AB849" s="43"/>
      <x:c r="AC849" s="43"/>
      <x:c r="AD849" s="43"/>
      <x:c r="AE849" s="43"/>
      <x:c r="AF849" s="43"/>
      <x:c r="AG849" s="67"/>
      <x:c r="AH849" s="43"/>
      <x:c r="AI849" s="43"/>
    </x:row>
    <x:row r="850">
      <x:c r="A850" s="43"/>
      <x:c r="B850" s="43"/>
      <x:c r="C850" s="43"/>
      <x:c r="D850" s="43" t="str">
        <x:f>IF(C850="","",YEAR(C850))</x:f>
      </x:c>
      <x:c r="E850" s="43" t="str">
        <x:f>IF(C850="","",MONTH(C850))</x:f>
      </x:c>
      <x:c r="F850" s="43" t="str">
        <x:f>IF(C850="","",WEEKNUM(C850,21))</x:f>
      </x:c>
      <x:c r="G850" s="43" t="str">
        <x:f>IF(C850="","",CHOOSE(WEEKDAY(C850,2),"Lundi","Mardi","Mercredi","Jeudi","Vendredi","Samedi","Dimanche"))</x:f>
      </x:c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  <x:c r="AA850" s="43"/>
      <x:c r="AB850" s="43"/>
      <x:c r="AC850" s="43"/>
      <x:c r="AD850" s="43"/>
      <x:c r="AE850" s="43"/>
      <x:c r="AF850" s="43"/>
      <x:c r="AG850" s="67"/>
      <x:c r="AH850" s="43"/>
      <x:c r="AI850" s="43"/>
    </x:row>
    <x:row r="851">
      <x:c r="A851" s="43"/>
      <x:c r="B851" s="43"/>
      <x:c r="C851" s="43"/>
      <x:c r="D851" s="43" t="str">
        <x:f>IF(C851="","",YEAR(C851))</x:f>
      </x:c>
      <x:c r="E851" s="43" t="str">
        <x:f>IF(C851="","",MONTH(C851))</x:f>
      </x:c>
      <x:c r="F851" s="43" t="str">
        <x:f>IF(C851="","",WEEKNUM(C851,21))</x:f>
      </x:c>
      <x:c r="G851" s="43" t="str">
        <x:f>IF(C851="","",CHOOSE(WEEKDAY(C851,2),"Lundi","Mardi","Mercredi","Jeudi","Vendredi","Samedi","Dimanche"))</x:f>
      </x:c>
      <x:c r="H851" s="43"/>
      <x:c r="I851" s="43"/>
      <x:c r="J851" s="43"/>
      <x:c r="K851" s="43"/>
      <x:c r="L851" s="43"/>
      <x:c r="M851" s="43"/>
      <x:c r="N851" s="43"/>
      <x:c r="O851" s="43"/>
      <x:c r="P851" s="43"/>
      <x:c r="Q851" s="43"/>
      <x:c r="R851" s="43"/>
      <x:c r="S851" s="43"/>
      <x:c r="T851" s="43"/>
      <x:c r="U851" s="43"/>
      <x:c r="V851" s="43"/>
      <x:c r="W851" s="43"/>
      <x:c r="X851" s="43"/>
      <x:c r="Y851" s="43"/>
      <x:c r="Z851" s="43"/>
      <x:c r="AA851" s="43"/>
      <x:c r="AB851" s="43"/>
      <x:c r="AC851" s="43"/>
      <x:c r="AD851" s="43"/>
      <x:c r="AE851" s="43"/>
      <x:c r="AF851" s="43"/>
      <x:c r="AG851" s="67"/>
      <x:c r="AH851" s="43"/>
      <x:c r="AI851" s="43"/>
    </x:row>
    <x:row r="852">
      <x:c r="A852" s="43"/>
      <x:c r="B852" s="43"/>
      <x:c r="C852" s="43"/>
      <x:c r="D852" s="43" t="str">
        <x:f>IF(C852="","",YEAR(C852))</x:f>
      </x:c>
      <x:c r="E852" s="43" t="str">
        <x:f>IF(C852="","",MONTH(C852))</x:f>
      </x:c>
      <x:c r="F852" s="43" t="str">
        <x:f>IF(C852="","",WEEKNUM(C852,21))</x:f>
      </x:c>
      <x:c r="G852" s="43" t="str">
        <x:f>IF(C852="","",CHOOSE(WEEKDAY(C852,2),"Lundi","Mardi","Mercredi","Jeudi","Vendredi","Samedi","Dimanche"))</x:f>
      </x:c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  <x:c r="AA852" s="43"/>
      <x:c r="AB852" s="43"/>
      <x:c r="AC852" s="43"/>
      <x:c r="AD852" s="43"/>
      <x:c r="AE852" s="43"/>
      <x:c r="AF852" s="43"/>
      <x:c r="AG852" s="67"/>
      <x:c r="AH852" s="43"/>
      <x:c r="AI852" s="43"/>
    </x:row>
    <x:row r="853">
      <x:c r="A853" s="43"/>
      <x:c r="B853" s="43"/>
      <x:c r="C853" s="43"/>
      <x:c r="D853" s="43" t="str">
        <x:f>IF(C853="","",YEAR(C853))</x:f>
      </x:c>
      <x:c r="E853" s="43" t="str">
        <x:f>IF(C853="","",MONTH(C853))</x:f>
      </x:c>
      <x:c r="F853" s="43" t="str">
        <x:f>IF(C853="","",WEEKNUM(C853,21))</x:f>
      </x:c>
      <x:c r="G853" s="43" t="str">
        <x:f>IF(C853="","",CHOOSE(WEEKDAY(C853,2),"Lundi","Mardi","Mercredi","Jeudi","Vendredi","Samedi","Dimanche"))</x:f>
      </x:c>
      <x:c r="H853" s="43"/>
      <x:c r="I853" s="43"/>
      <x:c r="J853" s="43"/>
      <x:c r="K853" s="43"/>
      <x:c r="L853" s="43"/>
      <x:c r="M853" s="43"/>
      <x:c r="N853" s="43"/>
      <x:c r="O853" s="43"/>
      <x:c r="P853" s="43"/>
      <x:c r="Q853" s="43"/>
      <x:c r="R853" s="43"/>
      <x:c r="S853" s="43"/>
      <x:c r="T853" s="43"/>
      <x:c r="U853" s="43"/>
      <x:c r="V853" s="43"/>
      <x:c r="W853" s="43"/>
      <x:c r="X853" s="43"/>
      <x:c r="Y853" s="43"/>
      <x:c r="Z853" s="43"/>
      <x:c r="AA853" s="43"/>
      <x:c r="AB853" s="43"/>
      <x:c r="AC853" s="43"/>
      <x:c r="AD853" s="43"/>
      <x:c r="AE853" s="43"/>
      <x:c r="AF853" s="43"/>
      <x:c r="AG853" s="67"/>
      <x:c r="AH853" s="43"/>
      <x:c r="AI853" s="43"/>
    </x:row>
    <x:row r="854">
      <x:c r="A854" s="43"/>
      <x:c r="B854" s="43"/>
      <x:c r="C854" s="43"/>
      <x:c r="D854" s="43" t="str">
        <x:f>IF(C854="","",YEAR(C854))</x:f>
      </x:c>
      <x:c r="E854" s="43" t="str">
        <x:f>IF(C854="","",MONTH(C854))</x:f>
      </x:c>
      <x:c r="F854" s="43" t="str">
        <x:f>IF(C854="","",WEEKNUM(C854,21))</x:f>
      </x:c>
      <x:c r="G854" s="43" t="str">
        <x:f>IF(C854="","",CHOOSE(WEEKDAY(C854,2),"Lundi","Mardi","Mercredi","Jeudi","Vendredi","Samedi","Dimanche"))</x:f>
      </x:c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  <x:c r="AA854" s="43"/>
      <x:c r="AB854" s="43"/>
      <x:c r="AC854" s="43"/>
      <x:c r="AD854" s="43"/>
      <x:c r="AE854" s="43"/>
      <x:c r="AF854" s="43"/>
      <x:c r="AG854" s="67"/>
      <x:c r="AH854" s="43"/>
      <x:c r="AI854" s="43"/>
    </x:row>
    <x:row r="855">
      <x:c r="A855" s="43"/>
      <x:c r="B855" s="43"/>
      <x:c r="C855" s="43"/>
      <x:c r="D855" s="43" t="str">
        <x:f>IF(C855="","",YEAR(C855))</x:f>
      </x:c>
      <x:c r="E855" s="43" t="str">
        <x:f>IF(C855="","",MONTH(C855))</x:f>
      </x:c>
      <x:c r="F855" s="43" t="str">
        <x:f>IF(C855="","",WEEKNUM(C855,21))</x:f>
      </x:c>
      <x:c r="G855" s="43" t="str">
        <x:f>IF(C855="","",CHOOSE(WEEKDAY(C855,2),"Lundi","Mardi","Mercredi","Jeudi","Vendredi","Samedi","Dimanche"))</x:f>
      </x:c>
      <x:c r="H855" s="43"/>
      <x:c r="I855" s="43"/>
      <x:c r="J855" s="43"/>
      <x:c r="K855" s="43"/>
      <x:c r="L855" s="43"/>
      <x:c r="M855" s="43"/>
      <x:c r="N855" s="43"/>
      <x:c r="O855" s="43"/>
      <x:c r="P855" s="43"/>
      <x:c r="Q855" s="43"/>
      <x:c r="R855" s="43"/>
      <x:c r="S855" s="43"/>
      <x:c r="T855" s="43"/>
      <x:c r="U855" s="43"/>
      <x:c r="V855" s="43"/>
      <x:c r="W855" s="43"/>
      <x:c r="X855" s="43"/>
      <x:c r="Y855" s="43"/>
      <x:c r="Z855" s="43"/>
      <x:c r="AA855" s="43"/>
      <x:c r="AB855" s="43"/>
      <x:c r="AC855" s="43"/>
      <x:c r="AD855" s="43"/>
      <x:c r="AE855" s="43"/>
      <x:c r="AF855" s="43"/>
      <x:c r="AG855" s="67"/>
      <x:c r="AH855" s="43"/>
      <x:c r="AI855" s="43"/>
    </x:row>
    <x:row r="856">
      <x:c r="A856" s="43"/>
      <x:c r="B856" s="43"/>
      <x:c r="C856" s="43"/>
      <x:c r="D856" s="43" t="str">
        <x:f>IF(C856="","",YEAR(C856))</x:f>
      </x:c>
      <x:c r="E856" s="43" t="str">
        <x:f>IF(C856="","",MONTH(C856))</x:f>
      </x:c>
      <x:c r="F856" s="43" t="str">
        <x:f>IF(C856="","",WEEKNUM(C856,21))</x:f>
      </x:c>
      <x:c r="G856" s="43" t="str">
        <x:f>IF(C856="","",CHOOSE(WEEKDAY(C856,2),"Lundi","Mardi","Mercredi","Jeudi","Vendredi","Samedi","Dimanche"))</x:f>
      </x:c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  <x:c r="AA856" s="43"/>
      <x:c r="AB856" s="43"/>
      <x:c r="AC856" s="43"/>
      <x:c r="AD856" s="43"/>
      <x:c r="AE856" s="43"/>
      <x:c r="AF856" s="43"/>
      <x:c r="AG856" s="67"/>
      <x:c r="AH856" s="43"/>
      <x:c r="AI856" s="43"/>
    </x:row>
    <x:row r="857">
      <x:c r="A857" s="43"/>
      <x:c r="B857" s="43"/>
      <x:c r="C857" s="43"/>
      <x:c r="D857" s="43" t="str">
        <x:f>IF(C857="","",YEAR(C857))</x:f>
      </x:c>
      <x:c r="E857" s="43" t="str">
        <x:f>IF(C857="","",MONTH(C857))</x:f>
      </x:c>
      <x:c r="F857" s="43" t="str">
        <x:f>IF(C857="","",WEEKNUM(C857,21))</x:f>
      </x:c>
      <x:c r="G857" s="43" t="str">
        <x:f>IF(C857="","",CHOOSE(WEEKDAY(C857,2),"Lundi","Mardi","Mercredi","Jeudi","Vendredi","Samedi","Dimanche"))</x:f>
      </x:c>
      <x:c r="H857" s="43"/>
      <x:c r="I857" s="43"/>
      <x:c r="J857" s="43"/>
      <x:c r="K857" s="43"/>
      <x:c r="L857" s="43"/>
      <x:c r="M857" s="43"/>
      <x:c r="N857" s="43"/>
      <x:c r="O857" s="43"/>
      <x:c r="P857" s="43"/>
      <x:c r="Q857" s="43"/>
      <x:c r="R857" s="43"/>
      <x:c r="S857" s="43"/>
      <x:c r="T857" s="43"/>
      <x:c r="U857" s="43"/>
      <x:c r="V857" s="43"/>
      <x:c r="W857" s="43"/>
      <x:c r="X857" s="43"/>
      <x:c r="Y857" s="43"/>
      <x:c r="Z857" s="43"/>
      <x:c r="AA857" s="43"/>
      <x:c r="AB857" s="43"/>
      <x:c r="AC857" s="43"/>
      <x:c r="AD857" s="43"/>
      <x:c r="AE857" s="43"/>
      <x:c r="AF857" s="43"/>
      <x:c r="AG857" s="67"/>
      <x:c r="AH857" s="43"/>
      <x:c r="AI857" s="43"/>
    </x:row>
    <x:row r="858">
      <x:c r="A858" s="43"/>
      <x:c r="B858" s="43"/>
      <x:c r="C858" s="43"/>
      <x:c r="D858" s="43" t="str">
        <x:f>IF(C858="","",YEAR(C858))</x:f>
      </x:c>
      <x:c r="E858" s="43" t="str">
        <x:f>IF(C858="","",MONTH(C858))</x:f>
      </x:c>
      <x:c r="F858" s="43" t="str">
        <x:f>IF(C858="","",WEEKNUM(C858,21))</x:f>
      </x:c>
      <x:c r="G858" s="43" t="str">
        <x:f>IF(C858="","",CHOOSE(WEEKDAY(C858,2),"Lundi","Mardi","Mercredi","Jeudi","Vendredi","Samedi","Dimanche"))</x:f>
      </x:c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  <x:c r="AA858" s="43"/>
      <x:c r="AB858" s="43"/>
      <x:c r="AC858" s="43"/>
      <x:c r="AD858" s="43"/>
      <x:c r="AE858" s="43"/>
      <x:c r="AF858" s="43"/>
      <x:c r="AG858" s="67"/>
      <x:c r="AH858" s="43"/>
      <x:c r="AI858" s="43"/>
    </x:row>
    <x:row r="859">
      <x:c r="A859" s="43"/>
      <x:c r="B859" s="43"/>
      <x:c r="C859" s="43"/>
      <x:c r="D859" s="43" t="str">
        <x:f>IF(C859="","",YEAR(C859))</x:f>
      </x:c>
      <x:c r="E859" s="43" t="str">
        <x:f>IF(C859="","",MONTH(C859))</x:f>
      </x:c>
      <x:c r="F859" s="43" t="str">
        <x:f>IF(C859="","",WEEKNUM(C859,21))</x:f>
      </x:c>
      <x:c r="G859" s="43" t="str">
        <x:f>IF(C859="","",CHOOSE(WEEKDAY(C859,2),"Lundi","Mardi","Mercredi","Jeudi","Vendredi","Samedi","Dimanche"))</x:f>
      </x:c>
      <x:c r="H859" s="43"/>
      <x:c r="I859" s="43"/>
      <x:c r="J859" s="43"/>
      <x:c r="K859" s="43"/>
      <x:c r="L859" s="43"/>
      <x:c r="M859" s="43"/>
      <x:c r="N859" s="43"/>
      <x:c r="O859" s="43"/>
      <x:c r="P859" s="43"/>
      <x:c r="Q859" s="43"/>
      <x:c r="R859" s="43"/>
      <x:c r="S859" s="43"/>
      <x:c r="T859" s="43"/>
      <x:c r="U859" s="43"/>
      <x:c r="V859" s="43"/>
      <x:c r="W859" s="43"/>
      <x:c r="X859" s="43"/>
      <x:c r="Y859" s="43"/>
      <x:c r="Z859" s="43"/>
      <x:c r="AA859" s="43"/>
      <x:c r="AB859" s="43"/>
      <x:c r="AC859" s="43"/>
      <x:c r="AD859" s="43"/>
      <x:c r="AE859" s="43"/>
      <x:c r="AF859" s="43"/>
      <x:c r="AG859" s="67"/>
      <x:c r="AH859" s="43"/>
      <x:c r="AI859" s="43"/>
    </x:row>
    <x:row r="860">
      <x:c r="A860" s="43"/>
      <x:c r="B860" s="43"/>
      <x:c r="C860" s="43"/>
      <x:c r="D860" s="43" t="str">
        <x:f>IF(C860="","",YEAR(C860))</x:f>
      </x:c>
      <x:c r="E860" s="43" t="str">
        <x:f>IF(C860="","",MONTH(C860))</x:f>
      </x:c>
      <x:c r="F860" s="43" t="str">
        <x:f>IF(C860="","",WEEKNUM(C860,21))</x:f>
      </x:c>
      <x:c r="G860" s="43" t="str">
        <x:f>IF(C860="","",CHOOSE(WEEKDAY(C860,2),"Lundi","Mardi","Mercredi","Jeudi","Vendredi","Samedi","Dimanche"))</x:f>
      </x:c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  <x:c r="AA860" s="43"/>
      <x:c r="AB860" s="43"/>
      <x:c r="AC860" s="43"/>
      <x:c r="AD860" s="43"/>
      <x:c r="AE860" s="43"/>
      <x:c r="AF860" s="43"/>
      <x:c r="AG860" s="67"/>
      <x:c r="AH860" s="43"/>
      <x:c r="AI860" s="43"/>
    </x:row>
    <x:row r="861">
      <x:c r="A861" s="43"/>
      <x:c r="B861" s="43"/>
      <x:c r="C861" s="43"/>
      <x:c r="D861" s="43" t="str">
        <x:f>IF(C861="","",YEAR(C861))</x:f>
      </x:c>
      <x:c r="E861" s="43" t="str">
        <x:f>IF(C861="","",MONTH(C861))</x:f>
      </x:c>
      <x:c r="F861" s="43" t="str">
        <x:f>IF(C861="","",WEEKNUM(C861,21))</x:f>
      </x:c>
      <x:c r="G861" s="43" t="str">
        <x:f>IF(C861="","",CHOOSE(WEEKDAY(C861,2),"Lundi","Mardi","Mercredi","Jeudi","Vendredi","Samedi","Dimanche"))</x:f>
      </x:c>
      <x:c r="H861" s="43"/>
      <x:c r="I861" s="43"/>
      <x:c r="J861" s="43"/>
      <x:c r="K861" s="43"/>
      <x:c r="L861" s="43"/>
      <x:c r="M861" s="43"/>
      <x:c r="N861" s="43"/>
      <x:c r="O861" s="43"/>
      <x:c r="P861" s="43"/>
      <x:c r="Q861" s="43"/>
      <x:c r="R861" s="43"/>
      <x:c r="S861" s="43"/>
      <x:c r="T861" s="43"/>
      <x:c r="U861" s="43"/>
      <x:c r="V861" s="43"/>
      <x:c r="W861" s="43"/>
      <x:c r="X861" s="43"/>
      <x:c r="Y861" s="43"/>
      <x:c r="Z861" s="43"/>
      <x:c r="AA861" s="43"/>
      <x:c r="AB861" s="43"/>
      <x:c r="AC861" s="43"/>
      <x:c r="AD861" s="43"/>
      <x:c r="AE861" s="43"/>
      <x:c r="AF861" s="43"/>
      <x:c r="AG861" s="67"/>
      <x:c r="AH861" s="43"/>
      <x:c r="AI861" s="43"/>
    </x:row>
    <x:row r="862">
      <x:c r="A862" s="43"/>
      <x:c r="B862" s="43"/>
      <x:c r="C862" s="43"/>
      <x:c r="D862" s="43" t="str">
        <x:f>IF(C862="","",YEAR(C862))</x:f>
      </x:c>
      <x:c r="E862" s="43" t="str">
        <x:f>IF(C862="","",MONTH(C862))</x:f>
      </x:c>
      <x:c r="F862" s="43" t="str">
        <x:f>IF(C862="","",WEEKNUM(C862,21))</x:f>
      </x:c>
      <x:c r="G862" s="43" t="str">
        <x:f>IF(C862="","",CHOOSE(WEEKDAY(C862,2),"Lundi","Mardi","Mercredi","Jeudi","Vendredi","Samedi","Dimanche"))</x:f>
      </x:c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  <x:c r="AA862" s="43"/>
      <x:c r="AB862" s="43"/>
      <x:c r="AC862" s="43"/>
      <x:c r="AD862" s="43"/>
      <x:c r="AE862" s="43"/>
      <x:c r="AF862" s="43"/>
      <x:c r="AG862" s="67"/>
      <x:c r="AH862" s="43"/>
      <x:c r="AI862" s="43"/>
    </x:row>
    <x:row r="863">
      <x:c r="A863" s="43"/>
      <x:c r="B863" s="43"/>
      <x:c r="C863" s="43"/>
      <x:c r="D863" s="43" t="str">
        <x:f>IF(C863="","",YEAR(C863))</x:f>
      </x:c>
      <x:c r="E863" s="43" t="str">
        <x:f>IF(C863="","",MONTH(C863))</x:f>
      </x:c>
      <x:c r="F863" s="43" t="str">
        <x:f>IF(C863="","",WEEKNUM(C863,21))</x:f>
      </x:c>
      <x:c r="G863" s="43" t="str">
        <x:f>IF(C863="","",CHOOSE(WEEKDAY(C863,2),"Lundi","Mardi","Mercredi","Jeudi","Vendredi","Samedi","Dimanche"))</x:f>
      </x:c>
      <x:c r="H863" s="43"/>
      <x:c r="I863" s="43"/>
      <x:c r="J863" s="43"/>
      <x:c r="K863" s="43"/>
      <x:c r="L863" s="43"/>
      <x:c r="M863" s="43"/>
      <x:c r="N863" s="43"/>
      <x:c r="O863" s="43"/>
      <x:c r="P863" s="43"/>
      <x:c r="Q863" s="43"/>
      <x:c r="R863" s="43"/>
      <x:c r="S863" s="43"/>
      <x:c r="T863" s="43"/>
      <x:c r="U863" s="43"/>
      <x:c r="V863" s="43"/>
      <x:c r="W863" s="43"/>
      <x:c r="X863" s="43"/>
      <x:c r="Y863" s="43"/>
      <x:c r="Z863" s="43"/>
      <x:c r="AA863" s="43"/>
      <x:c r="AB863" s="43"/>
      <x:c r="AC863" s="43"/>
      <x:c r="AD863" s="43"/>
      <x:c r="AE863" s="43"/>
      <x:c r="AF863" s="43"/>
      <x:c r="AG863" s="67"/>
      <x:c r="AH863" s="43"/>
      <x:c r="AI863" s="43"/>
    </x:row>
    <x:row r="864">
      <x:c r="A864" s="43"/>
      <x:c r="B864" s="43"/>
      <x:c r="C864" s="43"/>
      <x:c r="D864" s="43" t="str">
        <x:f>IF(C864="","",YEAR(C864))</x:f>
      </x:c>
      <x:c r="E864" s="43" t="str">
        <x:f>IF(C864="","",MONTH(C864))</x:f>
      </x:c>
      <x:c r="F864" s="43" t="str">
        <x:f>IF(C864="","",WEEKNUM(C864,21))</x:f>
      </x:c>
      <x:c r="G864" s="43" t="str">
        <x:f>IF(C864="","",CHOOSE(WEEKDAY(C864,2),"Lundi","Mardi","Mercredi","Jeudi","Vendredi","Samedi","Dimanche"))</x:f>
      </x:c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  <x:c r="AA864" s="43"/>
      <x:c r="AB864" s="43"/>
      <x:c r="AC864" s="43"/>
      <x:c r="AD864" s="43"/>
      <x:c r="AE864" s="43"/>
      <x:c r="AF864" s="43"/>
      <x:c r="AG864" s="67"/>
      <x:c r="AH864" s="43"/>
      <x:c r="AI864" s="43"/>
    </x:row>
    <x:row r="865">
      <x:c r="A865" s="43"/>
      <x:c r="B865" s="43"/>
      <x:c r="C865" s="43"/>
      <x:c r="D865" s="43" t="str">
        <x:f>IF(C865="","",YEAR(C865))</x:f>
      </x:c>
      <x:c r="E865" s="43" t="str">
        <x:f>IF(C865="","",MONTH(C865))</x:f>
      </x:c>
      <x:c r="F865" s="43" t="str">
        <x:f>IF(C865="","",WEEKNUM(C865,21))</x:f>
      </x:c>
      <x:c r="G865" s="43" t="str">
        <x:f>IF(C865="","",CHOOSE(WEEKDAY(C865,2),"Lundi","Mardi","Mercredi","Jeudi","Vendredi","Samedi","Dimanche"))</x:f>
      </x:c>
      <x:c r="H865" s="43"/>
      <x:c r="I865" s="43"/>
      <x:c r="J865" s="43"/>
      <x:c r="K865" s="43"/>
      <x:c r="L865" s="43"/>
      <x:c r="M865" s="43"/>
      <x:c r="N865" s="43"/>
      <x:c r="O865" s="43"/>
      <x:c r="P865" s="43"/>
      <x:c r="Q865" s="43"/>
      <x:c r="R865" s="43"/>
      <x:c r="S865" s="43"/>
      <x:c r="T865" s="43"/>
      <x:c r="U865" s="43"/>
      <x:c r="V865" s="43"/>
      <x:c r="W865" s="43"/>
      <x:c r="X865" s="43"/>
      <x:c r="Y865" s="43"/>
      <x:c r="Z865" s="43"/>
      <x:c r="AA865" s="43"/>
      <x:c r="AB865" s="43"/>
      <x:c r="AC865" s="43"/>
      <x:c r="AD865" s="43"/>
      <x:c r="AE865" s="43"/>
      <x:c r="AF865" s="43"/>
      <x:c r="AG865" s="67"/>
      <x:c r="AH865" s="43"/>
      <x:c r="AI865" s="43"/>
    </x:row>
    <x:row r="866">
      <x:c r="A866" s="43"/>
      <x:c r="B866" s="43"/>
      <x:c r="C866" s="43"/>
      <x:c r="D866" s="43" t="str">
        <x:f>IF(C866="","",YEAR(C866))</x:f>
      </x:c>
      <x:c r="E866" s="43" t="str">
        <x:f>IF(C866="","",MONTH(C866))</x:f>
      </x:c>
      <x:c r="F866" s="43" t="str">
        <x:f>IF(C866="","",WEEKNUM(C866,21))</x:f>
      </x:c>
      <x:c r="G866" s="43" t="str">
        <x:f>IF(C866="","",CHOOSE(WEEKDAY(C866,2),"Lundi","Mardi","Mercredi","Jeudi","Vendredi","Samedi","Dimanche"))</x:f>
      </x:c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  <x:c r="AA866" s="43"/>
      <x:c r="AB866" s="43"/>
      <x:c r="AC866" s="43"/>
      <x:c r="AD866" s="43"/>
      <x:c r="AE866" s="43"/>
      <x:c r="AF866" s="43"/>
      <x:c r="AG866" s="67"/>
      <x:c r="AH866" s="43"/>
      <x:c r="AI866" s="43"/>
    </x:row>
    <x:row r="867">
      <x:c r="A867" s="43"/>
      <x:c r="B867" s="43"/>
      <x:c r="C867" s="43"/>
      <x:c r="D867" s="43" t="str">
        <x:f>IF(C867="","",YEAR(C867))</x:f>
      </x:c>
      <x:c r="E867" s="43" t="str">
        <x:f>IF(C867="","",MONTH(C867))</x:f>
      </x:c>
      <x:c r="F867" s="43" t="str">
        <x:f>IF(C867="","",WEEKNUM(C867,21))</x:f>
      </x:c>
      <x:c r="G867" s="43" t="str">
        <x:f>IF(C867="","",CHOOSE(WEEKDAY(C867,2),"Lundi","Mardi","Mercredi","Jeudi","Vendredi","Samedi","Dimanche"))</x:f>
      </x:c>
      <x:c r="H867" s="43"/>
      <x:c r="I867" s="43"/>
      <x:c r="J867" s="43"/>
      <x:c r="K867" s="43"/>
      <x:c r="L867" s="43"/>
      <x:c r="M867" s="43"/>
      <x:c r="N867" s="43"/>
      <x:c r="O867" s="43"/>
      <x:c r="P867" s="43"/>
      <x:c r="Q867" s="43"/>
      <x:c r="R867" s="43"/>
      <x:c r="S867" s="43"/>
      <x:c r="T867" s="43"/>
      <x:c r="U867" s="43"/>
      <x:c r="V867" s="43"/>
      <x:c r="W867" s="43"/>
      <x:c r="X867" s="43"/>
      <x:c r="Y867" s="43"/>
      <x:c r="Z867" s="43"/>
      <x:c r="AA867" s="43"/>
      <x:c r="AB867" s="43"/>
      <x:c r="AC867" s="43"/>
      <x:c r="AD867" s="43"/>
      <x:c r="AE867" s="43"/>
      <x:c r="AF867" s="43"/>
      <x:c r="AG867" s="67"/>
      <x:c r="AH867" s="43"/>
      <x:c r="AI867" s="43"/>
    </x:row>
    <x:row r="868">
      <x:c r="A868" s="43"/>
      <x:c r="B868" s="43"/>
      <x:c r="C868" s="43"/>
      <x:c r="D868" s="43" t="str">
        <x:f>IF(C868="","",YEAR(C868))</x:f>
      </x:c>
      <x:c r="E868" s="43" t="str">
        <x:f>IF(C868="","",MONTH(C868))</x:f>
      </x:c>
      <x:c r="F868" s="43" t="str">
        <x:f>IF(C868="","",WEEKNUM(C868,21))</x:f>
      </x:c>
      <x:c r="G868" s="43" t="str">
        <x:f>IF(C868="","",CHOOSE(WEEKDAY(C868,2),"Lundi","Mardi","Mercredi","Jeudi","Vendredi","Samedi","Dimanche"))</x:f>
      </x:c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  <x:c r="AA868" s="43"/>
      <x:c r="AB868" s="43"/>
      <x:c r="AC868" s="43"/>
      <x:c r="AD868" s="43"/>
      <x:c r="AE868" s="43"/>
      <x:c r="AF868" s="43"/>
      <x:c r="AG868" s="67"/>
      <x:c r="AH868" s="43"/>
      <x:c r="AI868" s="43"/>
    </x:row>
    <x:row r="869">
      <x:c r="A869" s="43"/>
      <x:c r="B869" s="43"/>
      <x:c r="C869" s="43"/>
      <x:c r="D869" s="43" t="str">
        <x:f>IF(C869="","",YEAR(C869))</x:f>
      </x:c>
      <x:c r="E869" s="43" t="str">
        <x:f>IF(C869="","",MONTH(C869))</x:f>
      </x:c>
      <x:c r="F869" s="43" t="str">
        <x:f>IF(C869="","",WEEKNUM(C869,21))</x:f>
      </x:c>
      <x:c r="G869" s="43" t="str">
        <x:f>IF(C869="","",CHOOSE(WEEKDAY(C869,2),"Lundi","Mardi","Mercredi","Jeudi","Vendredi","Samedi","Dimanche"))</x:f>
      </x:c>
      <x:c r="H869" s="43"/>
      <x:c r="I869" s="43"/>
      <x:c r="J869" s="43"/>
      <x:c r="K869" s="43"/>
      <x:c r="L869" s="43"/>
      <x:c r="M869" s="43"/>
      <x:c r="N869" s="43"/>
      <x:c r="O869" s="43"/>
      <x:c r="P869" s="43"/>
      <x:c r="Q869" s="43"/>
      <x:c r="R869" s="43"/>
      <x:c r="S869" s="43"/>
      <x:c r="T869" s="43"/>
      <x:c r="U869" s="43"/>
      <x:c r="V869" s="43"/>
      <x:c r="W869" s="43"/>
      <x:c r="X869" s="43"/>
      <x:c r="Y869" s="43"/>
      <x:c r="Z869" s="43"/>
      <x:c r="AA869" s="43"/>
      <x:c r="AB869" s="43"/>
      <x:c r="AC869" s="43"/>
      <x:c r="AD869" s="43"/>
      <x:c r="AE869" s="43"/>
      <x:c r="AF869" s="43"/>
      <x:c r="AG869" s="67"/>
      <x:c r="AH869" s="43"/>
      <x:c r="AI869" s="43"/>
    </x:row>
    <x:row r="870">
      <x:c r="A870" s="43"/>
      <x:c r="B870" s="43"/>
      <x:c r="C870" s="43"/>
      <x:c r="D870" s="43" t="str">
        <x:f>IF(C870="","",YEAR(C870))</x:f>
      </x:c>
      <x:c r="E870" s="43" t="str">
        <x:f>IF(C870="","",MONTH(C870))</x:f>
      </x:c>
      <x:c r="F870" s="43" t="str">
        <x:f>IF(C870="","",WEEKNUM(C870,21))</x:f>
      </x:c>
      <x:c r="G870" s="43" t="str">
        <x:f>IF(C870="","",CHOOSE(WEEKDAY(C870,2),"Lundi","Mardi","Mercredi","Jeudi","Vendredi","Samedi","Dimanche"))</x:f>
      </x:c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  <x:c r="AA870" s="43"/>
      <x:c r="AB870" s="43"/>
      <x:c r="AC870" s="43"/>
      <x:c r="AD870" s="43"/>
      <x:c r="AE870" s="43"/>
      <x:c r="AF870" s="43"/>
      <x:c r="AG870" s="67"/>
      <x:c r="AH870" s="43"/>
      <x:c r="AI870" s="43"/>
    </x:row>
    <x:row r="871">
      <x:c r="A871" s="43"/>
      <x:c r="B871" s="43"/>
      <x:c r="C871" s="43"/>
      <x:c r="D871" s="43" t="str">
        <x:f>IF(C871="","",YEAR(C871))</x:f>
      </x:c>
      <x:c r="E871" s="43" t="str">
        <x:f>IF(C871="","",MONTH(C871))</x:f>
      </x:c>
      <x:c r="F871" s="43" t="str">
        <x:f>IF(C871="","",WEEKNUM(C871,21))</x:f>
      </x:c>
      <x:c r="G871" s="43" t="str">
        <x:f>IF(C871="","",CHOOSE(WEEKDAY(C871,2),"Lundi","Mardi","Mercredi","Jeudi","Vendredi","Samedi","Dimanche"))</x:f>
      </x:c>
      <x:c r="H871" s="43"/>
      <x:c r="I871" s="43"/>
      <x:c r="J871" s="43"/>
      <x:c r="K871" s="43"/>
      <x:c r="L871" s="43"/>
      <x:c r="M871" s="43"/>
      <x:c r="N871" s="43"/>
      <x:c r="O871" s="43"/>
      <x:c r="P871" s="43"/>
      <x:c r="Q871" s="43"/>
      <x:c r="R871" s="43"/>
      <x:c r="S871" s="43"/>
      <x:c r="T871" s="43"/>
      <x:c r="U871" s="43"/>
      <x:c r="V871" s="43"/>
      <x:c r="W871" s="43"/>
      <x:c r="X871" s="43"/>
      <x:c r="Y871" s="43"/>
      <x:c r="Z871" s="43"/>
      <x:c r="AA871" s="43"/>
      <x:c r="AB871" s="43"/>
      <x:c r="AC871" s="43"/>
      <x:c r="AD871" s="43"/>
      <x:c r="AE871" s="43"/>
      <x:c r="AF871" s="43"/>
      <x:c r="AG871" s="67"/>
      <x:c r="AH871" s="43"/>
      <x:c r="AI871" s="43"/>
    </x:row>
    <x:row r="872">
      <x:c r="A872" s="43"/>
      <x:c r="B872" s="43"/>
      <x:c r="C872" s="43"/>
      <x:c r="D872" s="43" t="str">
        <x:f>IF(C872="","",YEAR(C872))</x:f>
      </x:c>
      <x:c r="E872" s="43" t="str">
        <x:f>IF(C872="","",MONTH(C872))</x:f>
      </x:c>
      <x:c r="F872" s="43" t="str">
        <x:f>IF(C872="","",WEEKNUM(C872,21))</x:f>
      </x:c>
      <x:c r="G872" s="43" t="str">
        <x:f>IF(C872="","",CHOOSE(WEEKDAY(C872,2),"Lundi","Mardi","Mercredi","Jeudi","Vendredi","Samedi","Dimanche"))</x:f>
      </x:c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  <x:c r="AA872" s="43"/>
      <x:c r="AB872" s="43"/>
      <x:c r="AC872" s="43"/>
      <x:c r="AD872" s="43"/>
      <x:c r="AE872" s="43"/>
      <x:c r="AF872" s="43"/>
      <x:c r="AG872" s="67"/>
      <x:c r="AH872" s="43"/>
      <x:c r="AI872" s="43"/>
    </x:row>
    <x:row r="873">
      <x:c r="A873" s="43"/>
      <x:c r="B873" s="43"/>
      <x:c r="C873" s="43"/>
      <x:c r="D873" s="43" t="str">
        <x:f>IF(C873="","",YEAR(C873))</x:f>
      </x:c>
      <x:c r="E873" s="43" t="str">
        <x:f>IF(C873="","",MONTH(C873))</x:f>
      </x:c>
      <x:c r="F873" s="43" t="str">
        <x:f>IF(C873="","",WEEKNUM(C873,21))</x:f>
      </x:c>
      <x:c r="G873" s="43" t="str">
        <x:f>IF(C873="","",CHOOSE(WEEKDAY(C873,2),"Lundi","Mardi","Mercredi","Jeudi","Vendredi","Samedi","Dimanche"))</x:f>
      </x:c>
      <x:c r="H873" s="43"/>
      <x:c r="I873" s="43"/>
      <x:c r="J873" s="43"/>
      <x:c r="K873" s="43"/>
      <x:c r="L873" s="43"/>
      <x:c r="M873" s="43"/>
      <x:c r="N873" s="43"/>
      <x:c r="O873" s="43"/>
      <x:c r="P873" s="43"/>
      <x:c r="Q873" s="43"/>
      <x:c r="R873" s="43"/>
      <x:c r="S873" s="43"/>
      <x:c r="T873" s="43"/>
      <x:c r="U873" s="43"/>
      <x:c r="V873" s="43"/>
      <x:c r="W873" s="43"/>
      <x:c r="X873" s="43"/>
      <x:c r="Y873" s="43"/>
      <x:c r="Z873" s="43"/>
      <x:c r="AA873" s="43"/>
      <x:c r="AB873" s="43"/>
      <x:c r="AC873" s="43"/>
      <x:c r="AD873" s="43"/>
      <x:c r="AE873" s="43"/>
      <x:c r="AF873" s="43"/>
      <x:c r="AG873" s="67"/>
      <x:c r="AH873" s="43"/>
      <x:c r="AI873" s="43"/>
    </x:row>
    <x:row r="874">
      <x:c r="A874" s="43"/>
      <x:c r="B874" s="43"/>
      <x:c r="C874" s="43"/>
      <x:c r="D874" s="43" t="str">
        <x:f>IF(C874="","",YEAR(C874))</x:f>
      </x:c>
      <x:c r="E874" s="43" t="str">
        <x:f>IF(C874="","",MONTH(C874))</x:f>
      </x:c>
      <x:c r="F874" s="43" t="str">
        <x:f>IF(C874="","",WEEKNUM(C874,21))</x:f>
      </x:c>
      <x:c r="G874" s="43" t="str">
        <x:f>IF(C874="","",CHOOSE(WEEKDAY(C874,2),"Lundi","Mardi","Mercredi","Jeudi","Vendredi","Samedi","Dimanche"))</x:f>
      </x:c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  <x:c r="AA874" s="43"/>
      <x:c r="AB874" s="43"/>
      <x:c r="AC874" s="43"/>
      <x:c r="AD874" s="43"/>
      <x:c r="AE874" s="43"/>
      <x:c r="AF874" s="43"/>
      <x:c r="AG874" s="67"/>
      <x:c r="AH874" s="43"/>
      <x:c r="AI874" s="43"/>
    </x:row>
    <x:row r="875">
      <x:c r="A875" s="43"/>
      <x:c r="B875" s="43"/>
      <x:c r="C875" s="43"/>
      <x:c r="D875" s="43" t="str">
        <x:f>IF(C875="","",YEAR(C875))</x:f>
      </x:c>
      <x:c r="E875" s="43" t="str">
        <x:f>IF(C875="","",MONTH(C875))</x:f>
      </x:c>
      <x:c r="F875" s="43" t="str">
        <x:f>IF(C875="","",WEEKNUM(C875,21))</x:f>
      </x:c>
      <x:c r="G875" s="43" t="str">
        <x:f>IF(C875="","",CHOOSE(WEEKDAY(C875,2),"Lundi","Mardi","Mercredi","Jeudi","Vendredi","Samedi","Dimanche"))</x:f>
      </x:c>
      <x:c r="H875" s="43"/>
      <x:c r="I875" s="43"/>
      <x:c r="J875" s="43"/>
      <x:c r="K875" s="43"/>
      <x:c r="L875" s="43"/>
      <x:c r="M875" s="43"/>
      <x:c r="N875" s="43"/>
      <x:c r="O875" s="43"/>
      <x:c r="P875" s="43"/>
      <x:c r="Q875" s="43"/>
      <x:c r="R875" s="43"/>
      <x:c r="S875" s="43"/>
      <x:c r="T875" s="43"/>
      <x:c r="U875" s="43"/>
      <x:c r="V875" s="43"/>
      <x:c r="W875" s="43"/>
      <x:c r="X875" s="43"/>
      <x:c r="Y875" s="43"/>
      <x:c r="Z875" s="43"/>
      <x:c r="AA875" s="43"/>
      <x:c r="AB875" s="43"/>
      <x:c r="AC875" s="43"/>
      <x:c r="AD875" s="43"/>
      <x:c r="AE875" s="43"/>
      <x:c r="AF875" s="43"/>
      <x:c r="AG875" s="67"/>
      <x:c r="AH875" s="43"/>
      <x:c r="AI875" s="43"/>
    </x:row>
    <x:row r="876">
      <x:c r="A876" s="43"/>
      <x:c r="B876" s="43"/>
      <x:c r="C876" s="43"/>
      <x:c r="D876" s="43" t="str">
        <x:f>IF(C876="","",YEAR(C876))</x:f>
      </x:c>
      <x:c r="E876" s="43" t="str">
        <x:f>IF(C876="","",MONTH(C876))</x:f>
      </x:c>
      <x:c r="F876" s="43" t="str">
        <x:f>IF(C876="","",WEEKNUM(C876,21))</x:f>
      </x:c>
      <x:c r="G876" s="43" t="str">
        <x:f>IF(C876="","",CHOOSE(WEEKDAY(C876,2),"Lundi","Mardi","Mercredi","Jeudi","Vendredi","Samedi","Dimanche"))</x:f>
      </x:c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  <x:c r="AA876" s="43"/>
      <x:c r="AB876" s="43"/>
      <x:c r="AC876" s="43"/>
      <x:c r="AD876" s="43"/>
      <x:c r="AE876" s="43"/>
      <x:c r="AF876" s="43"/>
      <x:c r="AG876" s="67"/>
      <x:c r="AH876" s="43"/>
      <x:c r="AI876" s="43"/>
    </x:row>
    <x:row r="877">
      <x:c r="A877" s="43"/>
      <x:c r="B877" s="43"/>
      <x:c r="C877" s="43"/>
      <x:c r="D877" s="43" t="str">
        <x:f>IF(C877="","",YEAR(C877))</x:f>
      </x:c>
      <x:c r="E877" s="43" t="str">
        <x:f>IF(C877="","",MONTH(C877))</x:f>
      </x:c>
      <x:c r="F877" s="43" t="str">
        <x:f>IF(C877="","",WEEKNUM(C877,21))</x:f>
      </x:c>
      <x:c r="G877" s="43" t="str">
        <x:f>IF(C877="","",CHOOSE(WEEKDAY(C877,2),"Lundi","Mardi","Mercredi","Jeudi","Vendredi","Samedi","Dimanche"))</x:f>
      </x:c>
      <x:c r="H877" s="43"/>
      <x:c r="I877" s="43"/>
      <x:c r="J877" s="43"/>
      <x:c r="K877" s="43"/>
      <x:c r="L877" s="43"/>
      <x:c r="M877" s="43"/>
      <x:c r="N877" s="43"/>
      <x:c r="O877" s="43"/>
      <x:c r="P877" s="43"/>
      <x:c r="Q877" s="43"/>
      <x:c r="R877" s="43"/>
      <x:c r="S877" s="43"/>
      <x:c r="T877" s="43"/>
      <x:c r="U877" s="43"/>
      <x:c r="V877" s="43"/>
      <x:c r="W877" s="43"/>
      <x:c r="X877" s="43"/>
      <x:c r="Y877" s="43"/>
      <x:c r="Z877" s="43"/>
      <x:c r="AA877" s="43"/>
      <x:c r="AB877" s="43"/>
      <x:c r="AC877" s="43"/>
      <x:c r="AD877" s="43"/>
      <x:c r="AE877" s="43"/>
      <x:c r="AF877" s="43"/>
      <x:c r="AG877" s="67"/>
      <x:c r="AH877" s="43"/>
      <x:c r="AI877" s="43"/>
    </x:row>
    <x:row r="878">
      <x:c r="A878" s="43"/>
      <x:c r="B878" s="43"/>
      <x:c r="C878" s="43"/>
      <x:c r="D878" s="43" t="str">
        <x:f>IF(C878="","",YEAR(C878))</x:f>
      </x:c>
      <x:c r="E878" s="43" t="str">
        <x:f>IF(C878="","",MONTH(C878))</x:f>
      </x:c>
      <x:c r="F878" s="43" t="str">
        <x:f>IF(C878="","",WEEKNUM(C878,21))</x:f>
      </x:c>
      <x:c r="G878" s="43" t="str">
        <x:f>IF(C878="","",CHOOSE(WEEKDAY(C878,2),"Lundi","Mardi","Mercredi","Jeudi","Vendredi","Samedi","Dimanche"))</x:f>
      </x:c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  <x:c r="AA878" s="43"/>
      <x:c r="AB878" s="43"/>
      <x:c r="AC878" s="43"/>
      <x:c r="AD878" s="43"/>
      <x:c r="AE878" s="43"/>
      <x:c r="AF878" s="43"/>
      <x:c r="AG878" s="67"/>
      <x:c r="AH878" s="43"/>
      <x:c r="AI878" s="43"/>
    </x:row>
    <x:row r="879">
      <x:c r="A879" s="43"/>
      <x:c r="B879" s="43"/>
      <x:c r="C879" s="43"/>
      <x:c r="D879" s="43" t="str">
        <x:f>IF(C879="","",YEAR(C879))</x:f>
      </x:c>
      <x:c r="E879" s="43" t="str">
        <x:f>IF(C879="","",MONTH(C879))</x:f>
      </x:c>
      <x:c r="F879" s="43" t="str">
        <x:f>IF(C879="","",WEEKNUM(C879,21))</x:f>
      </x:c>
      <x:c r="G879" s="43" t="str">
        <x:f>IF(C879="","",CHOOSE(WEEKDAY(C879,2),"Lundi","Mardi","Mercredi","Jeudi","Vendredi","Samedi","Dimanche"))</x:f>
      </x:c>
      <x:c r="H879" s="43"/>
      <x:c r="I879" s="43"/>
      <x:c r="J879" s="43"/>
      <x:c r="K879" s="43"/>
      <x:c r="L879" s="43"/>
      <x:c r="M879" s="43"/>
      <x:c r="N879" s="43"/>
      <x:c r="O879" s="43"/>
      <x:c r="P879" s="43"/>
      <x:c r="Q879" s="43"/>
      <x:c r="R879" s="43"/>
      <x:c r="S879" s="43"/>
      <x:c r="T879" s="43"/>
      <x:c r="U879" s="43"/>
      <x:c r="V879" s="43"/>
      <x:c r="W879" s="43"/>
      <x:c r="X879" s="43"/>
      <x:c r="Y879" s="43"/>
      <x:c r="Z879" s="43"/>
      <x:c r="AA879" s="43"/>
      <x:c r="AB879" s="43"/>
      <x:c r="AC879" s="43"/>
      <x:c r="AD879" s="43"/>
      <x:c r="AE879" s="43"/>
      <x:c r="AF879" s="43"/>
      <x:c r="AG879" s="67"/>
      <x:c r="AH879" s="43"/>
      <x:c r="AI879" s="43"/>
    </x:row>
    <x:row r="880">
      <x:c r="A880" s="43"/>
      <x:c r="B880" s="43"/>
      <x:c r="C880" s="43"/>
      <x:c r="D880" s="43" t="str">
        <x:f>IF(C880="","",YEAR(C880))</x:f>
      </x:c>
      <x:c r="E880" s="43" t="str">
        <x:f>IF(C880="","",MONTH(C880))</x:f>
      </x:c>
      <x:c r="F880" s="43" t="str">
        <x:f>IF(C880="","",WEEKNUM(C880,21))</x:f>
      </x:c>
      <x:c r="G880" s="43" t="str">
        <x:f>IF(C880="","",CHOOSE(WEEKDAY(C880,2),"Lundi","Mardi","Mercredi","Jeudi","Vendredi","Samedi","Dimanche"))</x:f>
      </x:c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  <x:c r="AA880" s="43"/>
      <x:c r="AB880" s="43"/>
      <x:c r="AC880" s="43"/>
      <x:c r="AD880" s="43"/>
      <x:c r="AE880" s="43"/>
      <x:c r="AF880" s="43"/>
      <x:c r="AG880" s="67"/>
      <x:c r="AH880" s="43"/>
      <x:c r="AI880" s="43"/>
    </x:row>
    <x:row r="881">
      <x:c r="A881" s="43"/>
      <x:c r="B881" s="43"/>
      <x:c r="C881" s="43"/>
      <x:c r="D881" s="43" t="str">
        <x:f>IF(C881="","",YEAR(C881))</x:f>
      </x:c>
      <x:c r="E881" s="43" t="str">
        <x:f>IF(C881="","",MONTH(C881))</x:f>
      </x:c>
      <x:c r="F881" s="43" t="str">
        <x:f>IF(C881="","",WEEKNUM(C881,21))</x:f>
      </x:c>
      <x:c r="G881" s="43" t="str">
        <x:f>IF(C881="","",CHOOSE(WEEKDAY(C881,2),"Lundi","Mardi","Mercredi","Jeudi","Vendredi","Samedi","Dimanche"))</x:f>
      </x:c>
      <x:c r="H881" s="43"/>
      <x:c r="I881" s="43"/>
      <x:c r="J881" s="43"/>
      <x:c r="K881" s="43"/>
      <x:c r="L881" s="43"/>
      <x:c r="M881" s="43"/>
      <x:c r="N881" s="43"/>
      <x:c r="O881" s="43"/>
      <x:c r="P881" s="43"/>
      <x:c r="Q881" s="43"/>
      <x:c r="R881" s="43"/>
      <x:c r="S881" s="43"/>
      <x:c r="T881" s="43"/>
      <x:c r="U881" s="43"/>
      <x:c r="V881" s="43"/>
      <x:c r="W881" s="43"/>
      <x:c r="X881" s="43"/>
      <x:c r="Y881" s="43"/>
      <x:c r="Z881" s="43"/>
      <x:c r="AA881" s="43"/>
      <x:c r="AB881" s="43"/>
      <x:c r="AC881" s="43"/>
      <x:c r="AD881" s="43"/>
      <x:c r="AE881" s="43"/>
      <x:c r="AF881" s="43"/>
      <x:c r="AG881" s="67"/>
      <x:c r="AH881" s="43"/>
      <x:c r="AI881" s="43"/>
    </x:row>
    <x:row r="882">
      <x:c r="A882" s="43"/>
      <x:c r="B882" s="43"/>
      <x:c r="C882" s="43"/>
      <x:c r="D882" s="43" t="str">
        <x:f>IF(C882="","",YEAR(C882))</x:f>
      </x:c>
      <x:c r="E882" s="43" t="str">
        <x:f>IF(C882="","",MONTH(C882))</x:f>
      </x:c>
      <x:c r="F882" s="43" t="str">
        <x:f>IF(C882="","",WEEKNUM(C882,21))</x:f>
      </x:c>
      <x:c r="G882" s="43" t="str">
        <x:f>IF(C882="","",CHOOSE(WEEKDAY(C882,2),"Lundi","Mardi","Mercredi","Jeudi","Vendredi","Samedi","Dimanche"))</x:f>
      </x:c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  <x:c r="AA882" s="43"/>
      <x:c r="AB882" s="43"/>
      <x:c r="AC882" s="43"/>
      <x:c r="AD882" s="43"/>
      <x:c r="AE882" s="43"/>
      <x:c r="AF882" s="43"/>
      <x:c r="AG882" s="67"/>
      <x:c r="AH882" s="43"/>
      <x:c r="AI882" s="43"/>
    </x:row>
    <x:row r="883">
      <x:c r="A883" s="43"/>
      <x:c r="B883" s="43"/>
      <x:c r="C883" s="43"/>
      <x:c r="D883" s="43" t="str">
        <x:f>IF(C883="","",YEAR(C883))</x:f>
      </x:c>
      <x:c r="E883" s="43" t="str">
        <x:f>IF(C883="","",MONTH(C883))</x:f>
      </x:c>
      <x:c r="F883" s="43" t="str">
        <x:f>IF(C883="","",WEEKNUM(C883,21))</x:f>
      </x:c>
      <x:c r="G883" s="43" t="str">
        <x:f>IF(C883="","",CHOOSE(WEEKDAY(C883,2),"Lundi","Mardi","Mercredi","Jeudi","Vendredi","Samedi","Dimanche"))</x:f>
      </x:c>
      <x:c r="H883" s="43"/>
      <x:c r="I883" s="43"/>
      <x:c r="J883" s="43"/>
      <x:c r="K883" s="43"/>
      <x:c r="L883" s="43"/>
      <x:c r="M883" s="43"/>
      <x:c r="N883" s="43"/>
      <x:c r="O883" s="43"/>
      <x:c r="P883" s="43"/>
      <x:c r="Q883" s="43"/>
      <x:c r="R883" s="43"/>
      <x:c r="S883" s="43"/>
      <x:c r="T883" s="43"/>
      <x:c r="U883" s="43"/>
      <x:c r="V883" s="43"/>
      <x:c r="W883" s="43"/>
      <x:c r="X883" s="43"/>
      <x:c r="Y883" s="43"/>
      <x:c r="Z883" s="43"/>
      <x:c r="AA883" s="43"/>
      <x:c r="AB883" s="43"/>
      <x:c r="AC883" s="43"/>
      <x:c r="AD883" s="43"/>
      <x:c r="AE883" s="43"/>
      <x:c r="AF883" s="43"/>
      <x:c r="AG883" s="67"/>
      <x:c r="AH883" s="43"/>
      <x:c r="AI883" s="43"/>
    </x:row>
    <x:row r="884">
      <x:c r="A884" s="43"/>
      <x:c r="B884" s="43"/>
      <x:c r="C884" s="43"/>
      <x:c r="D884" s="43" t="str">
        <x:f>IF(C884="","",YEAR(C884))</x:f>
      </x:c>
      <x:c r="E884" s="43" t="str">
        <x:f>IF(C884="","",MONTH(C884))</x:f>
      </x:c>
      <x:c r="F884" s="43" t="str">
        <x:f>IF(C884="","",WEEKNUM(C884,21))</x:f>
      </x:c>
      <x:c r="G884" s="43" t="str">
        <x:f>IF(C884="","",CHOOSE(WEEKDAY(C884,2),"Lundi","Mardi","Mercredi","Jeudi","Vendredi","Samedi","Dimanche"))</x:f>
      </x:c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  <x:c r="AA884" s="43"/>
      <x:c r="AB884" s="43"/>
      <x:c r="AC884" s="43"/>
      <x:c r="AD884" s="43"/>
      <x:c r="AE884" s="43"/>
      <x:c r="AF884" s="43"/>
      <x:c r="AG884" s="67"/>
      <x:c r="AH884" s="43"/>
      <x:c r="AI884" s="43"/>
    </x:row>
    <x:row r="885">
      <x:c r="A885" s="43"/>
      <x:c r="B885" s="43"/>
      <x:c r="C885" s="43"/>
      <x:c r="D885" s="43" t="str">
        <x:f>IF(C885="","",YEAR(C885))</x:f>
      </x:c>
      <x:c r="E885" s="43" t="str">
        <x:f>IF(C885="","",MONTH(C885))</x:f>
      </x:c>
      <x:c r="F885" s="43" t="str">
        <x:f>IF(C885="","",WEEKNUM(C885,21))</x:f>
      </x:c>
      <x:c r="G885" s="43" t="str">
        <x:f>IF(C885="","",CHOOSE(WEEKDAY(C885,2),"Lundi","Mardi","Mercredi","Jeudi","Vendredi","Samedi","Dimanche"))</x:f>
      </x:c>
      <x:c r="H885" s="43"/>
      <x:c r="I885" s="43"/>
      <x:c r="J885" s="43"/>
      <x:c r="K885" s="43"/>
      <x:c r="L885" s="43"/>
      <x:c r="M885" s="43"/>
      <x:c r="N885" s="43"/>
      <x:c r="O885" s="43"/>
      <x:c r="P885" s="43"/>
      <x:c r="Q885" s="43"/>
      <x:c r="R885" s="43"/>
      <x:c r="S885" s="43"/>
      <x:c r="T885" s="43"/>
      <x:c r="U885" s="43"/>
      <x:c r="V885" s="43"/>
      <x:c r="W885" s="43"/>
      <x:c r="X885" s="43"/>
      <x:c r="Y885" s="43"/>
      <x:c r="Z885" s="43"/>
      <x:c r="AA885" s="43"/>
      <x:c r="AB885" s="43"/>
      <x:c r="AC885" s="43"/>
      <x:c r="AD885" s="43"/>
      <x:c r="AE885" s="43"/>
      <x:c r="AF885" s="43"/>
      <x:c r="AG885" s="67"/>
      <x:c r="AH885" s="43"/>
      <x:c r="AI885" s="43"/>
    </x:row>
    <x:row r="886">
      <x:c r="A886" s="43"/>
      <x:c r="B886" s="43"/>
      <x:c r="C886" s="43"/>
      <x:c r="D886" s="43" t="str">
        <x:f>IF(C886="","",YEAR(C886))</x:f>
      </x:c>
      <x:c r="E886" s="43" t="str">
        <x:f>IF(C886="","",MONTH(C886))</x:f>
      </x:c>
      <x:c r="F886" s="43" t="str">
        <x:f>IF(C886="","",WEEKNUM(C886,21))</x:f>
      </x:c>
      <x:c r="G886" s="43" t="str">
        <x:f>IF(C886="","",CHOOSE(WEEKDAY(C886,2),"Lundi","Mardi","Mercredi","Jeudi","Vendredi","Samedi","Dimanche"))</x:f>
      </x:c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  <x:c r="AA886" s="43"/>
      <x:c r="AB886" s="43"/>
      <x:c r="AC886" s="43"/>
      <x:c r="AD886" s="43"/>
      <x:c r="AE886" s="43"/>
      <x:c r="AF886" s="43"/>
      <x:c r="AG886" s="67"/>
      <x:c r="AH886" s="43"/>
      <x:c r="AI886" s="43"/>
    </x:row>
    <x:row r="887">
      <x:c r="A887" s="43"/>
      <x:c r="B887" s="43"/>
      <x:c r="C887" s="43"/>
      <x:c r="D887" s="43" t="str">
        <x:f>IF(C887="","",YEAR(C887))</x:f>
      </x:c>
      <x:c r="E887" s="43" t="str">
        <x:f>IF(C887="","",MONTH(C887))</x:f>
      </x:c>
      <x:c r="F887" s="43" t="str">
        <x:f>IF(C887="","",WEEKNUM(C887,21))</x:f>
      </x:c>
      <x:c r="G887" s="43" t="str">
        <x:f>IF(C887="","",CHOOSE(WEEKDAY(C887,2),"Lundi","Mardi","Mercredi","Jeudi","Vendredi","Samedi","Dimanche"))</x:f>
      </x:c>
      <x:c r="H887" s="43"/>
      <x:c r="I887" s="43"/>
      <x:c r="J887" s="43"/>
      <x:c r="K887" s="43"/>
      <x:c r="L887" s="43"/>
      <x:c r="M887" s="43"/>
      <x:c r="N887" s="43"/>
      <x:c r="O887" s="43"/>
      <x:c r="P887" s="43"/>
      <x:c r="Q887" s="43"/>
      <x:c r="R887" s="43"/>
      <x:c r="S887" s="43"/>
      <x:c r="T887" s="43"/>
      <x:c r="U887" s="43"/>
      <x:c r="V887" s="43"/>
      <x:c r="W887" s="43"/>
      <x:c r="X887" s="43"/>
      <x:c r="Y887" s="43"/>
      <x:c r="Z887" s="43"/>
      <x:c r="AA887" s="43"/>
      <x:c r="AB887" s="43"/>
      <x:c r="AC887" s="43"/>
      <x:c r="AD887" s="43"/>
      <x:c r="AE887" s="43"/>
      <x:c r="AF887" s="43"/>
      <x:c r="AG887" s="67"/>
      <x:c r="AH887" s="43"/>
      <x:c r="AI887" s="43"/>
    </x:row>
    <x:row r="888">
      <x:c r="A888" s="43"/>
      <x:c r="B888" s="43"/>
      <x:c r="C888" s="43"/>
      <x:c r="D888" s="43" t="str">
        <x:f>IF(C888="","",YEAR(C888))</x:f>
      </x:c>
      <x:c r="E888" s="43" t="str">
        <x:f>IF(C888="","",MONTH(C888))</x:f>
      </x:c>
      <x:c r="F888" s="43" t="str">
        <x:f>IF(C888="","",WEEKNUM(C888,21))</x:f>
      </x:c>
      <x:c r="G888" s="43" t="str">
        <x:f>IF(C888="","",CHOOSE(WEEKDAY(C888,2),"Lundi","Mardi","Mercredi","Jeudi","Vendredi","Samedi","Dimanche"))</x:f>
      </x:c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  <x:c r="AA888" s="43"/>
      <x:c r="AB888" s="43"/>
      <x:c r="AC888" s="43"/>
      <x:c r="AD888" s="43"/>
      <x:c r="AE888" s="43"/>
      <x:c r="AF888" s="43"/>
      <x:c r="AG888" s="67"/>
      <x:c r="AH888" s="43"/>
      <x:c r="AI888" s="43"/>
    </x:row>
    <x:row r="889">
      <x:c r="A889" s="43"/>
      <x:c r="B889" s="43"/>
      <x:c r="C889" s="43"/>
      <x:c r="D889" s="43" t="str">
        <x:f>IF(C889="","",YEAR(C889))</x:f>
      </x:c>
      <x:c r="E889" s="43" t="str">
        <x:f>IF(C889="","",MONTH(C889))</x:f>
      </x:c>
      <x:c r="F889" s="43" t="str">
        <x:f>IF(C889="","",WEEKNUM(C889,21))</x:f>
      </x:c>
      <x:c r="G889" s="43" t="str">
        <x:f>IF(C889="","",CHOOSE(WEEKDAY(C889,2),"Lundi","Mardi","Mercredi","Jeudi","Vendredi","Samedi","Dimanche"))</x:f>
      </x:c>
      <x:c r="H889" s="43"/>
      <x:c r="I889" s="43"/>
      <x:c r="J889" s="43"/>
      <x:c r="K889" s="43"/>
      <x:c r="L889" s="43"/>
      <x:c r="M889" s="43"/>
      <x:c r="N889" s="43"/>
      <x:c r="O889" s="43"/>
      <x:c r="P889" s="43"/>
      <x:c r="Q889" s="43"/>
      <x:c r="R889" s="43"/>
      <x:c r="S889" s="43"/>
      <x:c r="T889" s="43"/>
      <x:c r="U889" s="43"/>
      <x:c r="V889" s="43"/>
      <x:c r="W889" s="43"/>
      <x:c r="X889" s="43"/>
      <x:c r="Y889" s="43"/>
      <x:c r="Z889" s="43"/>
      <x:c r="AA889" s="43"/>
      <x:c r="AB889" s="43"/>
      <x:c r="AC889" s="43"/>
      <x:c r="AD889" s="43"/>
      <x:c r="AE889" s="43"/>
      <x:c r="AF889" s="43"/>
      <x:c r="AG889" s="67"/>
      <x:c r="AH889" s="43"/>
      <x:c r="AI889" s="43"/>
    </x:row>
    <x:row r="890">
      <x:c r="A890" s="43"/>
      <x:c r="B890" s="43"/>
      <x:c r="C890" s="43"/>
      <x:c r="D890" s="43" t="str">
        <x:f>IF(C890="","",YEAR(C890))</x:f>
      </x:c>
      <x:c r="E890" s="43" t="str">
        <x:f>IF(C890="","",MONTH(C890))</x:f>
      </x:c>
      <x:c r="F890" s="43" t="str">
        <x:f>IF(C890="","",WEEKNUM(C890,21))</x:f>
      </x:c>
      <x:c r="G890" s="43" t="str">
        <x:f>IF(C890="","",CHOOSE(WEEKDAY(C890,2),"Lundi","Mardi","Mercredi","Jeudi","Vendredi","Samedi","Dimanche"))</x:f>
      </x:c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  <x:c r="AA890" s="43"/>
      <x:c r="AB890" s="43"/>
      <x:c r="AC890" s="43"/>
      <x:c r="AD890" s="43"/>
      <x:c r="AE890" s="43"/>
      <x:c r="AF890" s="43"/>
      <x:c r="AG890" s="67"/>
      <x:c r="AH890" s="43"/>
      <x:c r="AI890" s="43"/>
    </x:row>
    <x:row r="891">
      <x:c r="A891" s="43"/>
      <x:c r="B891" s="43"/>
      <x:c r="C891" s="43"/>
      <x:c r="D891" s="43" t="str">
        <x:f>IF(C891="","",YEAR(C891))</x:f>
      </x:c>
      <x:c r="E891" s="43" t="str">
        <x:f>IF(C891="","",MONTH(C891))</x:f>
      </x:c>
      <x:c r="F891" s="43" t="str">
        <x:f>IF(C891="","",WEEKNUM(C891,21))</x:f>
      </x:c>
      <x:c r="G891" s="43" t="str">
        <x:f>IF(C891="","",CHOOSE(WEEKDAY(C891,2),"Lundi","Mardi","Mercredi","Jeudi","Vendredi","Samedi","Dimanche"))</x:f>
      </x:c>
      <x:c r="H891" s="43"/>
      <x:c r="I891" s="43"/>
      <x:c r="J891" s="43"/>
      <x:c r="K891" s="43"/>
      <x:c r="L891" s="43"/>
      <x:c r="M891" s="43"/>
      <x:c r="N891" s="43"/>
      <x:c r="O891" s="43"/>
      <x:c r="P891" s="43"/>
      <x:c r="Q891" s="43"/>
      <x:c r="R891" s="43"/>
      <x:c r="S891" s="43"/>
      <x:c r="T891" s="43"/>
      <x:c r="U891" s="43"/>
      <x:c r="V891" s="43"/>
      <x:c r="W891" s="43"/>
      <x:c r="X891" s="43"/>
      <x:c r="Y891" s="43"/>
      <x:c r="Z891" s="43"/>
      <x:c r="AA891" s="43"/>
      <x:c r="AB891" s="43"/>
      <x:c r="AC891" s="43"/>
      <x:c r="AD891" s="43"/>
      <x:c r="AE891" s="43"/>
      <x:c r="AF891" s="43"/>
      <x:c r="AG891" s="67"/>
      <x:c r="AH891" s="43"/>
      <x:c r="AI891" s="43"/>
    </x:row>
    <x:row r="892">
      <x:c r="A892" s="43"/>
      <x:c r="B892" s="43"/>
      <x:c r="C892" s="43"/>
      <x:c r="D892" s="43" t="str">
        <x:f>IF(C892="","",YEAR(C892))</x:f>
      </x:c>
      <x:c r="E892" s="43" t="str">
        <x:f>IF(C892="","",MONTH(C892))</x:f>
      </x:c>
      <x:c r="F892" s="43" t="str">
        <x:f>IF(C892="","",WEEKNUM(C892,21))</x:f>
      </x:c>
      <x:c r="G892" s="43" t="str">
        <x:f>IF(C892="","",CHOOSE(WEEKDAY(C892,2),"Lundi","Mardi","Mercredi","Jeudi","Vendredi","Samedi","Dimanche"))</x:f>
      </x:c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  <x:c r="AA892" s="43"/>
      <x:c r="AB892" s="43"/>
      <x:c r="AC892" s="43"/>
      <x:c r="AD892" s="43"/>
      <x:c r="AE892" s="43"/>
      <x:c r="AF892" s="43"/>
      <x:c r="AG892" s="67"/>
      <x:c r="AH892" s="43"/>
      <x:c r="AI892" s="43"/>
    </x:row>
    <x:row r="893">
      <x:c r="A893" s="43"/>
      <x:c r="B893" s="43"/>
      <x:c r="C893" s="43"/>
      <x:c r="D893" s="43" t="str">
        <x:f>IF(C893="","",YEAR(C893))</x:f>
      </x:c>
      <x:c r="E893" s="43" t="str">
        <x:f>IF(C893="","",MONTH(C893))</x:f>
      </x:c>
      <x:c r="F893" s="43" t="str">
        <x:f>IF(C893="","",WEEKNUM(C893,21))</x:f>
      </x:c>
      <x:c r="G893" s="43" t="str">
        <x:f>IF(C893="","",CHOOSE(WEEKDAY(C893,2),"Lundi","Mardi","Mercredi","Jeudi","Vendredi","Samedi","Dimanche"))</x:f>
      </x:c>
      <x:c r="H893" s="43"/>
      <x:c r="I893" s="43"/>
      <x:c r="J893" s="43"/>
      <x:c r="K893" s="43"/>
      <x:c r="L893" s="43"/>
      <x:c r="M893" s="43"/>
      <x:c r="N893" s="43"/>
      <x:c r="O893" s="43"/>
      <x:c r="P893" s="43"/>
      <x:c r="Q893" s="43"/>
      <x:c r="R893" s="43"/>
      <x:c r="S893" s="43"/>
      <x:c r="T893" s="43"/>
      <x:c r="U893" s="43"/>
      <x:c r="V893" s="43"/>
      <x:c r="W893" s="43"/>
      <x:c r="X893" s="43"/>
      <x:c r="Y893" s="43"/>
      <x:c r="Z893" s="43"/>
      <x:c r="AA893" s="43"/>
      <x:c r="AB893" s="43"/>
      <x:c r="AC893" s="43"/>
      <x:c r="AD893" s="43"/>
      <x:c r="AE893" s="43"/>
      <x:c r="AF893" s="43"/>
      <x:c r="AG893" s="67"/>
      <x:c r="AH893" s="43"/>
      <x:c r="AI893" s="43"/>
    </x:row>
    <x:row r="894">
      <x:c r="A894" s="43"/>
      <x:c r="B894" s="43"/>
      <x:c r="C894" s="43"/>
      <x:c r="D894" s="43" t="str">
        <x:f>IF(C894="","",YEAR(C894))</x:f>
      </x:c>
      <x:c r="E894" s="43" t="str">
        <x:f>IF(C894="","",MONTH(C894))</x:f>
      </x:c>
      <x:c r="F894" s="43" t="str">
        <x:f>IF(C894="","",WEEKNUM(C894,21))</x:f>
      </x:c>
      <x:c r="G894" s="43" t="str">
        <x:f>IF(C894="","",CHOOSE(WEEKDAY(C894,2),"Lundi","Mardi","Mercredi","Jeudi","Vendredi","Samedi","Dimanche"))</x:f>
      </x:c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  <x:c r="AA894" s="43"/>
      <x:c r="AB894" s="43"/>
      <x:c r="AC894" s="43"/>
      <x:c r="AD894" s="43"/>
      <x:c r="AE894" s="43"/>
      <x:c r="AF894" s="43"/>
      <x:c r="AG894" s="67"/>
      <x:c r="AH894" s="43"/>
      <x:c r="AI894" s="43"/>
    </x:row>
    <x:row r="895">
      <x:c r="A895" s="43"/>
      <x:c r="B895" s="43"/>
      <x:c r="C895" s="43"/>
      <x:c r="D895" s="43" t="str">
        <x:f>IF(C895="","",YEAR(C895))</x:f>
      </x:c>
      <x:c r="E895" s="43" t="str">
        <x:f>IF(C895="","",MONTH(C895))</x:f>
      </x:c>
      <x:c r="F895" s="43" t="str">
        <x:f>IF(C895="","",WEEKNUM(C895,21))</x:f>
      </x:c>
      <x:c r="G895" s="43" t="str">
        <x:f>IF(C895="","",CHOOSE(WEEKDAY(C895,2),"Lundi","Mardi","Mercredi","Jeudi","Vendredi","Samedi","Dimanche"))</x:f>
      </x:c>
      <x:c r="H895" s="43"/>
      <x:c r="I895" s="43"/>
      <x:c r="J895" s="43"/>
      <x:c r="K895" s="43"/>
      <x:c r="L895" s="43"/>
      <x:c r="M895" s="43"/>
      <x:c r="N895" s="43"/>
      <x:c r="O895" s="43"/>
      <x:c r="P895" s="43"/>
      <x:c r="Q895" s="43"/>
      <x:c r="R895" s="43"/>
      <x:c r="S895" s="43"/>
      <x:c r="T895" s="43"/>
      <x:c r="U895" s="43"/>
      <x:c r="V895" s="43"/>
      <x:c r="W895" s="43"/>
      <x:c r="X895" s="43"/>
      <x:c r="Y895" s="43"/>
      <x:c r="Z895" s="43"/>
      <x:c r="AA895" s="43"/>
      <x:c r="AB895" s="43"/>
      <x:c r="AC895" s="43"/>
      <x:c r="AD895" s="43"/>
      <x:c r="AE895" s="43"/>
      <x:c r="AF895" s="43"/>
      <x:c r="AG895" s="67"/>
      <x:c r="AH895" s="43"/>
      <x:c r="AI895" s="43"/>
    </x:row>
    <x:row r="896">
      <x:c r="A896" s="43"/>
      <x:c r="B896" s="43"/>
      <x:c r="C896" s="43"/>
      <x:c r="D896" s="43" t="str">
        <x:f>IF(C896="","",YEAR(C896))</x:f>
      </x:c>
      <x:c r="E896" s="43" t="str">
        <x:f>IF(C896="","",MONTH(C896))</x:f>
      </x:c>
      <x:c r="F896" s="43" t="str">
        <x:f>IF(C896="","",WEEKNUM(C896,21))</x:f>
      </x:c>
      <x:c r="G896" s="43" t="str">
        <x:f>IF(C896="","",CHOOSE(WEEKDAY(C896,2),"Lundi","Mardi","Mercredi","Jeudi","Vendredi","Samedi","Dimanche"))</x:f>
      </x:c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  <x:c r="AA896" s="43"/>
      <x:c r="AB896" s="43"/>
      <x:c r="AC896" s="43"/>
      <x:c r="AD896" s="43"/>
      <x:c r="AE896" s="43"/>
      <x:c r="AF896" s="43"/>
      <x:c r="AG896" s="67"/>
      <x:c r="AH896" s="43"/>
      <x:c r="AI896" s="43"/>
    </x:row>
    <x:row r="897">
      <x:c r="A897" s="43"/>
      <x:c r="B897" s="43"/>
      <x:c r="C897" s="43"/>
      <x:c r="D897" s="43" t="str">
        <x:f>IF(C897="","",YEAR(C897))</x:f>
      </x:c>
      <x:c r="E897" s="43" t="str">
        <x:f>IF(C897="","",MONTH(C897))</x:f>
      </x:c>
      <x:c r="F897" s="43" t="str">
        <x:f>IF(C897="","",WEEKNUM(C897,21))</x:f>
      </x:c>
      <x:c r="G897" s="43" t="str">
        <x:f>IF(C897="","",CHOOSE(WEEKDAY(C897,2),"Lundi","Mardi","Mercredi","Jeudi","Vendredi","Samedi","Dimanche"))</x:f>
      </x:c>
      <x:c r="H897" s="43"/>
      <x:c r="I897" s="43"/>
      <x:c r="J897" s="43"/>
      <x:c r="K897" s="43"/>
      <x:c r="L897" s="43"/>
      <x:c r="M897" s="43"/>
      <x:c r="N897" s="43"/>
      <x:c r="O897" s="43"/>
      <x:c r="P897" s="43"/>
      <x:c r="Q897" s="43"/>
      <x:c r="R897" s="43"/>
      <x:c r="S897" s="43"/>
      <x:c r="T897" s="43"/>
      <x:c r="U897" s="43"/>
      <x:c r="V897" s="43"/>
      <x:c r="W897" s="43"/>
      <x:c r="X897" s="43"/>
      <x:c r="Y897" s="43"/>
      <x:c r="Z897" s="43"/>
      <x:c r="AA897" s="43"/>
      <x:c r="AB897" s="43"/>
      <x:c r="AC897" s="43"/>
      <x:c r="AD897" s="43"/>
      <x:c r="AE897" s="43"/>
      <x:c r="AF897" s="43"/>
      <x:c r="AG897" s="67"/>
      <x:c r="AH897" s="43"/>
      <x:c r="AI897" s="43"/>
    </x:row>
    <x:row r="898">
      <x:c r="A898" s="43"/>
      <x:c r="B898" s="43"/>
      <x:c r="C898" s="43"/>
      <x:c r="D898" s="43" t="str">
        <x:f>IF(C898="","",YEAR(C898))</x:f>
      </x:c>
      <x:c r="E898" s="43" t="str">
        <x:f>IF(C898="","",MONTH(C898))</x:f>
      </x:c>
      <x:c r="F898" s="43" t="str">
        <x:f>IF(C898="","",WEEKNUM(C898,21))</x:f>
      </x:c>
      <x:c r="G898" s="43" t="str">
        <x:f>IF(C898="","",CHOOSE(WEEKDAY(C898,2),"Lundi","Mardi","Mercredi","Jeudi","Vendredi","Samedi","Dimanche"))</x:f>
      </x:c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  <x:c r="AA898" s="43"/>
      <x:c r="AB898" s="43"/>
      <x:c r="AC898" s="43"/>
      <x:c r="AD898" s="43"/>
      <x:c r="AE898" s="43"/>
      <x:c r="AF898" s="43"/>
      <x:c r="AG898" s="67"/>
      <x:c r="AH898" s="43"/>
      <x:c r="AI898" s="43"/>
    </x:row>
    <x:row r="899">
      <x:c r="A899" s="43"/>
      <x:c r="B899" s="43"/>
      <x:c r="C899" s="43"/>
      <x:c r="D899" s="43" t="str">
        <x:f>IF(C899="","",YEAR(C899))</x:f>
      </x:c>
      <x:c r="E899" s="43" t="str">
        <x:f>IF(C899="","",MONTH(C899))</x:f>
      </x:c>
      <x:c r="F899" s="43" t="str">
        <x:f>IF(C899="","",WEEKNUM(C899,21))</x:f>
      </x:c>
      <x:c r="G899" s="43" t="str">
        <x:f>IF(C899="","",CHOOSE(WEEKDAY(C899,2),"Lundi","Mardi","Mercredi","Jeudi","Vendredi","Samedi","Dimanche"))</x:f>
      </x:c>
      <x:c r="H899" s="43"/>
      <x:c r="I899" s="43"/>
      <x:c r="J899" s="43"/>
      <x:c r="K899" s="43"/>
      <x:c r="L899" s="43"/>
      <x:c r="M899" s="43"/>
      <x:c r="N899" s="43"/>
      <x:c r="O899" s="43"/>
      <x:c r="P899" s="43"/>
      <x:c r="Q899" s="43"/>
      <x:c r="R899" s="43"/>
      <x:c r="S899" s="43"/>
      <x:c r="T899" s="43"/>
      <x:c r="U899" s="43"/>
      <x:c r="V899" s="43"/>
      <x:c r="W899" s="43"/>
      <x:c r="X899" s="43"/>
      <x:c r="Y899" s="43"/>
      <x:c r="Z899" s="43"/>
      <x:c r="AA899" s="43"/>
      <x:c r="AB899" s="43"/>
      <x:c r="AC899" s="43"/>
      <x:c r="AD899" s="43"/>
      <x:c r="AE899" s="43"/>
      <x:c r="AF899" s="43"/>
      <x:c r="AG899" s="67"/>
      <x:c r="AH899" s="43"/>
      <x:c r="AI899" s="43"/>
    </x:row>
    <x:row r="900">
      <x:c r="A900" s="43"/>
      <x:c r="B900" s="43"/>
      <x:c r="C900" s="43"/>
      <x:c r="D900" s="43" t="str">
        <x:f>IF(C900="","",YEAR(C900))</x:f>
      </x:c>
      <x:c r="E900" s="43" t="str">
        <x:f>IF(C900="","",MONTH(C900))</x:f>
      </x:c>
      <x:c r="F900" s="43" t="str">
        <x:f>IF(C900="","",WEEKNUM(C900,21))</x:f>
      </x:c>
      <x:c r="G900" s="43" t="str">
        <x:f>IF(C900="","",CHOOSE(WEEKDAY(C900,2),"Lundi","Mardi","Mercredi","Jeudi","Vendredi","Samedi","Dimanche"))</x:f>
      </x:c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  <x:c r="AA900" s="43"/>
      <x:c r="AB900" s="43"/>
      <x:c r="AC900" s="43"/>
      <x:c r="AD900" s="43"/>
      <x:c r="AE900" s="43"/>
      <x:c r="AF900" s="43"/>
      <x:c r="AG900" s="67"/>
      <x:c r="AH900" s="43"/>
      <x:c r="AI900" s="43"/>
    </x:row>
    <x:row r="901">
      <x:c r="A901" s="43"/>
      <x:c r="B901" s="43"/>
      <x:c r="C901" s="43"/>
      <x:c r="D901" s="43" t="str">
        <x:f>IF(C901="","",YEAR(C901))</x:f>
      </x:c>
      <x:c r="E901" s="43" t="str">
        <x:f>IF(C901="","",MONTH(C901))</x:f>
      </x:c>
      <x:c r="F901" s="43" t="str">
        <x:f>IF(C901="","",WEEKNUM(C901,21))</x:f>
      </x:c>
      <x:c r="G901" s="43" t="str">
        <x:f>IF(C901="","",CHOOSE(WEEKDAY(C901,2),"Lundi","Mardi","Mercredi","Jeudi","Vendredi","Samedi","Dimanche"))</x:f>
      </x:c>
      <x:c r="H901" s="43"/>
      <x:c r="I901" s="43"/>
      <x:c r="J901" s="43"/>
      <x:c r="K901" s="43"/>
      <x:c r="L901" s="43"/>
      <x:c r="M901" s="43"/>
      <x:c r="N901" s="43"/>
      <x:c r="O901" s="43"/>
      <x:c r="P901" s="43"/>
      <x:c r="Q901" s="43"/>
      <x:c r="R901" s="43"/>
      <x:c r="S901" s="43"/>
      <x:c r="T901" s="43"/>
      <x:c r="U901" s="43"/>
      <x:c r="V901" s="43"/>
      <x:c r="W901" s="43"/>
      <x:c r="X901" s="43"/>
      <x:c r="Y901" s="43"/>
      <x:c r="Z901" s="43"/>
      <x:c r="AA901" s="43"/>
      <x:c r="AB901" s="43"/>
      <x:c r="AC901" s="43"/>
      <x:c r="AD901" s="43"/>
      <x:c r="AE901" s="43"/>
      <x:c r="AF901" s="43"/>
      <x:c r="AG901" s="67"/>
      <x:c r="AH901" s="43"/>
      <x:c r="AI901" s="43"/>
    </x:row>
    <x:row r="902">
      <x:c r="A902" s="43"/>
      <x:c r="B902" s="43"/>
      <x:c r="C902" s="43"/>
      <x:c r="D902" s="43" t="str">
        <x:f>IF(C902="","",YEAR(C902))</x:f>
      </x:c>
      <x:c r="E902" s="43" t="str">
        <x:f>IF(C902="","",MONTH(C902))</x:f>
      </x:c>
      <x:c r="F902" s="43" t="str">
        <x:f>IF(C902="","",WEEKNUM(C902,21))</x:f>
      </x:c>
      <x:c r="G902" s="43" t="str">
        <x:f>IF(C902="","",CHOOSE(WEEKDAY(C902,2),"Lundi","Mardi","Mercredi","Jeudi","Vendredi","Samedi","Dimanche"))</x:f>
      </x:c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  <x:c r="AA902" s="43"/>
      <x:c r="AB902" s="43"/>
      <x:c r="AC902" s="43"/>
      <x:c r="AD902" s="43"/>
      <x:c r="AE902" s="43"/>
      <x:c r="AF902" s="43"/>
      <x:c r="AG902" s="67"/>
      <x:c r="AH902" s="43"/>
      <x:c r="AI902" s="43"/>
    </x:row>
    <x:row r="903">
      <x:c r="A903" s="43"/>
      <x:c r="B903" s="43"/>
      <x:c r="C903" s="43"/>
      <x:c r="D903" s="43" t="str">
        <x:f>IF(C903="","",YEAR(C903))</x:f>
      </x:c>
      <x:c r="E903" s="43" t="str">
        <x:f>IF(C903="","",MONTH(C903))</x:f>
      </x:c>
      <x:c r="F903" s="43" t="str">
        <x:f>IF(C903="","",WEEKNUM(C903,21))</x:f>
      </x:c>
      <x:c r="G903" s="43" t="str">
        <x:f>IF(C903="","",CHOOSE(WEEKDAY(C903,2),"Lundi","Mardi","Mercredi","Jeudi","Vendredi","Samedi","Dimanche"))</x:f>
      </x:c>
      <x:c r="H903" s="43"/>
      <x:c r="I903" s="43"/>
      <x:c r="J903" s="43"/>
      <x:c r="K903" s="43"/>
      <x:c r="L903" s="43"/>
      <x:c r="M903" s="43"/>
      <x:c r="N903" s="43"/>
      <x:c r="O903" s="43"/>
      <x:c r="P903" s="43"/>
      <x:c r="Q903" s="43"/>
      <x:c r="R903" s="43"/>
      <x:c r="S903" s="43"/>
      <x:c r="T903" s="43"/>
      <x:c r="U903" s="43"/>
      <x:c r="V903" s="43"/>
      <x:c r="W903" s="43"/>
      <x:c r="X903" s="43"/>
      <x:c r="Y903" s="43"/>
      <x:c r="Z903" s="43"/>
      <x:c r="AA903" s="43"/>
      <x:c r="AB903" s="43"/>
      <x:c r="AC903" s="43"/>
      <x:c r="AD903" s="43"/>
      <x:c r="AE903" s="43"/>
      <x:c r="AF903" s="43"/>
      <x:c r="AG903" s="67"/>
      <x:c r="AH903" s="43"/>
      <x:c r="AI903" s="43"/>
    </x:row>
    <x:row r="904">
      <x:c r="A904" s="43"/>
      <x:c r="B904" s="43"/>
      <x:c r="C904" s="43"/>
      <x:c r="D904" s="43" t="str">
        <x:f>IF(C904="","",YEAR(C904))</x:f>
      </x:c>
      <x:c r="E904" s="43" t="str">
        <x:f>IF(C904="","",MONTH(C904))</x:f>
      </x:c>
      <x:c r="F904" s="43" t="str">
        <x:f>IF(C904="","",WEEKNUM(C904,21))</x:f>
      </x:c>
      <x:c r="G904" s="43" t="str">
        <x:f>IF(C904="","",CHOOSE(WEEKDAY(C904,2),"Lundi","Mardi","Mercredi","Jeudi","Vendredi","Samedi","Dimanche"))</x:f>
      </x:c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  <x:c r="AA904" s="43"/>
      <x:c r="AB904" s="43"/>
      <x:c r="AC904" s="43"/>
      <x:c r="AD904" s="43"/>
      <x:c r="AE904" s="43"/>
      <x:c r="AF904" s="43"/>
      <x:c r="AG904" s="67"/>
      <x:c r="AH904" s="43"/>
      <x:c r="AI904" s="43"/>
    </x:row>
    <x:row r="905">
      <x:c r="A905" s="43"/>
      <x:c r="B905" s="43"/>
      <x:c r="C905" s="43"/>
      <x:c r="D905" s="43" t="str">
        <x:f>IF(C905="","",YEAR(C905))</x:f>
      </x:c>
      <x:c r="E905" s="43" t="str">
        <x:f>IF(C905="","",MONTH(C905))</x:f>
      </x:c>
      <x:c r="F905" s="43" t="str">
        <x:f>IF(C905="","",WEEKNUM(C905,21))</x:f>
      </x:c>
      <x:c r="G905" s="43" t="str">
        <x:f>IF(C905="","",CHOOSE(WEEKDAY(C905,2),"Lundi","Mardi","Mercredi","Jeudi","Vendredi","Samedi","Dimanche"))</x:f>
      </x:c>
      <x:c r="H905" s="43"/>
      <x:c r="I905" s="43"/>
      <x:c r="J905" s="43"/>
      <x:c r="K905" s="43"/>
      <x:c r="L905" s="43"/>
      <x:c r="M905" s="43"/>
      <x:c r="N905" s="43"/>
      <x:c r="O905" s="43"/>
      <x:c r="P905" s="43"/>
      <x:c r="Q905" s="43"/>
      <x:c r="R905" s="43"/>
      <x:c r="S905" s="43"/>
      <x:c r="T905" s="43"/>
      <x:c r="U905" s="43"/>
      <x:c r="V905" s="43"/>
      <x:c r="W905" s="43"/>
      <x:c r="X905" s="43"/>
      <x:c r="Y905" s="43"/>
      <x:c r="Z905" s="43"/>
      <x:c r="AA905" s="43"/>
      <x:c r="AB905" s="43"/>
      <x:c r="AC905" s="43"/>
      <x:c r="AD905" s="43"/>
      <x:c r="AE905" s="43"/>
      <x:c r="AF905" s="43"/>
      <x:c r="AG905" s="67"/>
      <x:c r="AH905" s="43"/>
      <x:c r="AI905" s="43"/>
    </x:row>
    <x:row r="906">
      <x:c r="A906" s="43"/>
      <x:c r="B906" s="43"/>
      <x:c r="C906" s="43"/>
      <x:c r="D906" s="43" t="str">
        <x:f>IF(C906="","",YEAR(C906))</x:f>
      </x:c>
      <x:c r="E906" s="43" t="str">
        <x:f>IF(C906="","",MONTH(C906))</x:f>
      </x:c>
      <x:c r="F906" s="43" t="str">
        <x:f>IF(C906="","",WEEKNUM(C906,21))</x:f>
      </x:c>
      <x:c r="G906" s="43" t="str">
        <x:f>IF(C906="","",CHOOSE(WEEKDAY(C906,2),"Lundi","Mardi","Mercredi","Jeudi","Vendredi","Samedi","Dimanche"))</x:f>
      </x:c>
      <x:c r="H906" s="43"/>
      <x:c r="I906" s="43"/>
      <x:c r="J906" s="43"/>
      <x:c r="K906" s="43"/>
      <x:c r="L906" s="43"/>
      <x:c r="M906" s="43"/>
      <x:c r="N906" s="43"/>
      <x:c r="O906" s="43"/>
      <x:c r="P906" s="43"/>
      <x:c r="Q906" s="43"/>
      <x:c r="R906" s="43"/>
      <x:c r="S906" s="43"/>
      <x:c r="T906" s="43"/>
      <x:c r="U906" s="43"/>
      <x:c r="V906" s="43"/>
      <x:c r="W906" s="43"/>
      <x:c r="X906" s="43"/>
      <x:c r="Y906" s="43"/>
      <x:c r="Z906" s="43"/>
      <x:c r="AA906" s="43"/>
      <x:c r="AB906" s="43"/>
      <x:c r="AC906" s="43"/>
      <x:c r="AD906" s="43"/>
      <x:c r="AE906" s="43"/>
      <x:c r="AF906" s="43"/>
      <x:c r="AG906" s="67"/>
      <x:c r="AH906" s="43"/>
      <x:c r="AI906" s="43"/>
    </x:row>
    <x:row r="907">
      <x:c r="A907" s="43"/>
      <x:c r="B907" s="43"/>
      <x:c r="C907" s="43"/>
      <x:c r="D907" s="43" t="str">
        <x:f>IF(C907="","",YEAR(C907))</x:f>
      </x:c>
      <x:c r="E907" s="43" t="str">
        <x:f>IF(C907="","",MONTH(C907))</x:f>
      </x:c>
      <x:c r="F907" s="43" t="str">
        <x:f>IF(C907="","",WEEKNUM(C907,21))</x:f>
      </x:c>
      <x:c r="G907" s="43" t="str">
        <x:f>IF(C907="","",CHOOSE(WEEKDAY(C907,2),"Lundi","Mardi","Mercredi","Jeudi","Vendredi","Samedi","Dimanche"))</x:f>
      </x:c>
      <x:c r="H907" s="43"/>
      <x:c r="I907" s="43"/>
      <x:c r="J907" s="43"/>
      <x:c r="K907" s="43"/>
      <x:c r="L907" s="43"/>
      <x:c r="M907" s="43"/>
      <x:c r="N907" s="43"/>
      <x:c r="O907" s="43"/>
      <x:c r="P907" s="43"/>
      <x:c r="Q907" s="43"/>
      <x:c r="R907" s="43"/>
      <x:c r="S907" s="43"/>
      <x:c r="T907" s="43"/>
      <x:c r="U907" s="43"/>
      <x:c r="V907" s="43"/>
      <x:c r="W907" s="43"/>
      <x:c r="X907" s="43"/>
      <x:c r="Y907" s="43"/>
      <x:c r="Z907" s="43"/>
      <x:c r="AA907" s="43"/>
      <x:c r="AB907" s="43"/>
      <x:c r="AC907" s="43"/>
      <x:c r="AD907" s="43"/>
      <x:c r="AE907" s="43"/>
      <x:c r="AF907" s="43"/>
      <x:c r="AG907" s="67"/>
      <x:c r="AH907" s="43"/>
      <x:c r="AI907" s="43"/>
    </x:row>
    <x:row r="908">
      <x:c r="A908" s="43"/>
      <x:c r="B908" s="43"/>
      <x:c r="C908" s="43"/>
      <x:c r="D908" s="43" t="str">
        <x:f>IF(C908="","",YEAR(C908))</x:f>
      </x:c>
      <x:c r="E908" s="43" t="str">
        <x:f>IF(C908="","",MONTH(C908))</x:f>
      </x:c>
      <x:c r="F908" s="43" t="str">
        <x:f>IF(C908="","",WEEKNUM(C908,21))</x:f>
      </x:c>
      <x:c r="G908" s="43" t="str">
        <x:f>IF(C908="","",CHOOSE(WEEKDAY(C908,2),"Lundi","Mardi","Mercredi","Jeudi","Vendredi","Samedi","Dimanche"))</x:f>
      </x:c>
      <x:c r="H908" s="43"/>
      <x:c r="I908" s="43"/>
      <x:c r="J908" s="43"/>
      <x:c r="K908" s="43"/>
      <x:c r="L908" s="43"/>
      <x:c r="M908" s="43"/>
      <x:c r="N908" s="43"/>
      <x:c r="O908" s="43"/>
      <x:c r="P908" s="43"/>
      <x:c r="Q908" s="43"/>
      <x:c r="R908" s="43"/>
      <x:c r="S908" s="43"/>
      <x:c r="T908" s="43"/>
      <x:c r="U908" s="43"/>
      <x:c r="V908" s="43"/>
      <x:c r="W908" s="43"/>
      <x:c r="X908" s="43"/>
      <x:c r="Y908" s="43"/>
      <x:c r="Z908" s="43"/>
      <x:c r="AA908" s="43"/>
      <x:c r="AB908" s="43"/>
      <x:c r="AC908" s="43"/>
      <x:c r="AD908" s="43"/>
      <x:c r="AE908" s="43"/>
      <x:c r="AF908" s="43"/>
      <x:c r="AG908" s="67"/>
      <x:c r="AH908" s="43"/>
      <x:c r="AI908" s="43"/>
    </x:row>
    <x:row r="909">
      <x:c r="A909" s="43"/>
      <x:c r="B909" s="43"/>
      <x:c r="C909" s="43"/>
      <x:c r="D909" s="43" t="str">
        <x:f>IF(C909="","",YEAR(C909))</x:f>
      </x:c>
      <x:c r="E909" s="43" t="str">
        <x:f>IF(C909="","",MONTH(C909))</x:f>
      </x:c>
      <x:c r="F909" s="43" t="str">
        <x:f>IF(C909="","",WEEKNUM(C909,21))</x:f>
      </x:c>
      <x:c r="G909" s="43" t="str">
        <x:f>IF(C909="","",CHOOSE(WEEKDAY(C909,2),"Lundi","Mardi","Mercredi","Jeudi","Vendredi","Samedi","Dimanche"))</x:f>
      </x:c>
      <x:c r="H909" s="43"/>
      <x:c r="I909" s="43"/>
      <x:c r="J909" s="43"/>
      <x:c r="K909" s="43"/>
      <x:c r="L909" s="43"/>
      <x:c r="M909" s="43"/>
      <x:c r="N909" s="43"/>
      <x:c r="O909" s="43"/>
      <x:c r="P909" s="43"/>
      <x:c r="Q909" s="43"/>
      <x:c r="R909" s="43"/>
      <x:c r="S909" s="43"/>
      <x:c r="T909" s="43"/>
      <x:c r="U909" s="43"/>
      <x:c r="V909" s="43"/>
      <x:c r="W909" s="43"/>
      <x:c r="X909" s="43"/>
      <x:c r="Y909" s="43"/>
      <x:c r="Z909" s="43"/>
      <x:c r="AA909" s="43"/>
      <x:c r="AB909" s="43"/>
      <x:c r="AC909" s="43"/>
      <x:c r="AD909" s="43"/>
      <x:c r="AE909" s="43"/>
      <x:c r="AF909" s="43"/>
      <x:c r="AG909" s="67"/>
      <x:c r="AH909" s="43"/>
      <x:c r="AI909" s="43"/>
    </x:row>
    <x:row r="910">
      <x:c r="A910" s="43"/>
      <x:c r="B910" s="43"/>
      <x:c r="C910" s="43"/>
      <x:c r="D910" s="43" t="str">
        <x:f>IF(C910="","",YEAR(C910))</x:f>
      </x:c>
      <x:c r="E910" s="43" t="str">
        <x:f>IF(C910="","",MONTH(C910))</x:f>
      </x:c>
      <x:c r="F910" s="43" t="str">
        <x:f>IF(C910="","",WEEKNUM(C910,21))</x:f>
      </x:c>
      <x:c r="G910" s="43" t="str">
        <x:f>IF(C910="","",CHOOSE(WEEKDAY(C910,2),"Lundi","Mardi","Mercredi","Jeudi","Vendredi","Samedi","Dimanche"))</x:f>
      </x:c>
      <x:c r="H910" s="43"/>
      <x:c r="I910" s="43"/>
      <x:c r="J910" s="43"/>
      <x:c r="K910" s="43"/>
      <x:c r="L910" s="43"/>
      <x:c r="M910" s="43"/>
      <x:c r="N910" s="43"/>
      <x:c r="O910" s="43"/>
      <x:c r="P910" s="43"/>
      <x:c r="Q910" s="43"/>
      <x:c r="R910" s="43"/>
      <x:c r="S910" s="43"/>
      <x:c r="T910" s="43"/>
      <x:c r="U910" s="43"/>
      <x:c r="V910" s="43"/>
      <x:c r="W910" s="43"/>
      <x:c r="X910" s="43"/>
      <x:c r="Y910" s="43"/>
      <x:c r="Z910" s="43"/>
      <x:c r="AA910" s="43"/>
      <x:c r="AB910" s="43"/>
      <x:c r="AC910" s="43"/>
      <x:c r="AD910" s="43"/>
      <x:c r="AE910" s="43"/>
      <x:c r="AF910" s="43"/>
      <x:c r="AG910" s="67"/>
      <x:c r="AH910" s="43"/>
      <x:c r="AI910" s="43"/>
    </x:row>
    <x:row r="911">
      <x:c r="A911" s="43"/>
      <x:c r="B911" s="43"/>
      <x:c r="C911" s="43"/>
      <x:c r="D911" s="43" t="str">
        <x:f>IF(C911="","",YEAR(C911))</x:f>
      </x:c>
      <x:c r="E911" s="43" t="str">
        <x:f>IF(C911="","",MONTH(C911))</x:f>
      </x:c>
      <x:c r="F911" s="43" t="str">
        <x:f>IF(C911="","",WEEKNUM(C911,21))</x:f>
      </x:c>
      <x:c r="G911" s="43" t="str">
        <x:f>IF(C911="","",CHOOSE(WEEKDAY(C911,2),"Lundi","Mardi","Mercredi","Jeudi","Vendredi","Samedi","Dimanche"))</x:f>
      </x:c>
      <x:c r="H911" s="43"/>
      <x:c r="I911" s="43"/>
      <x:c r="J911" s="43"/>
      <x:c r="K911" s="43"/>
      <x:c r="L911" s="43"/>
      <x:c r="M911" s="43"/>
      <x:c r="N911" s="43"/>
      <x:c r="O911" s="43"/>
      <x:c r="P911" s="43"/>
      <x:c r="Q911" s="43"/>
      <x:c r="R911" s="43"/>
      <x:c r="S911" s="43"/>
      <x:c r="T911" s="43"/>
      <x:c r="U911" s="43"/>
      <x:c r="V911" s="43"/>
      <x:c r="W911" s="43"/>
      <x:c r="X911" s="43"/>
      <x:c r="Y911" s="43"/>
      <x:c r="Z911" s="43"/>
      <x:c r="AA911" s="43"/>
      <x:c r="AB911" s="43"/>
      <x:c r="AC911" s="43"/>
      <x:c r="AD911" s="43"/>
      <x:c r="AE911" s="43"/>
      <x:c r="AF911" s="43"/>
      <x:c r="AG911" s="67"/>
      <x:c r="AH911" s="43"/>
      <x:c r="AI911" s="43"/>
    </x:row>
    <x:row r="912">
      <x:c r="A912" s="43"/>
      <x:c r="B912" s="43"/>
      <x:c r="C912" s="43"/>
      <x:c r="D912" s="43" t="str">
        <x:f>IF(C912="","",YEAR(C912))</x:f>
      </x:c>
      <x:c r="E912" s="43" t="str">
        <x:f>IF(C912="","",MONTH(C912))</x:f>
      </x:c>
      <x:c r="F912" s="43" t="str">
        <x:f>IF(C912="","",WEEKNUM(C912,21))</x:f>
      </x:c>
      <x:c r="G912" s="43" t="str">
        <x:f>IF(C912="","",CHOOSE(WEEKDAY(C912,2),"Lundi","Mardi","Mercredi","Jeudi","Vendredi","Samedi","Dimanche"))</x:f>
      </x:c>
      <x:c r="H912" s="43"/>
      <x:c r="I912" s="43"/>
      <x:c r="J912" s="43"/>
      <x:c r="K912" s="43"/>
      <x:c r="L912" s="43"/>
      <x:c r="M912" s="43"/>
      <x:c r="N912" s="43"/>
      <x:c r="O912" s="43"/>
      <x:c r="P912" s="43"/>
      <x:c r="Q912" s="43"/>
      <x:c r="R912" s="43"/>
      <x:c r="S912" s="43"/>
      <x:c r="T912" s="43"/>
      <x:c r="U912" s="43"/>
      <x:c r="V912" s="43"/>
      <x:c r="W912" s="43"/>
      <x:c r="X912" s="43"/>
      <x:c r="Y912" s="43"/>
      <x:c r="Z912" s="43"/>
      <x:c r="AA912" s="43"/>
      <x:c r="AB912" s="43"/>
      <x:c r="AC912" s="43"/>
      <x:c r="AD912" s="43"/>
      <x:c r="AE912" s="43"/>
      <x:c r="AF912" s="43"/>
      <x:c r="AG912" s="67"/>
      <x:c r="AH912" s="43"/>
      <x:c r="AI912" s="43"/>
    </x:row>
    <x:row r="913">
      <x:c r="A913" s="43"/>
      <x:c r="B913" s="43"/>
      <x:c r="C913" s="43"/>
      <x:c r="D913" s="43" t="str">
        <x:f>IF(C913="","",YEAR(C913))</x:f>
      </x:c>
      <x:c r="E913" s="43" t="str">
        <x:f>IF(C913="","",MONTH(C913))</x:f>
      </x:c>
      <x:c r="F913" s="43" t="str">
        <x:f>IF(C913="","",WEEKNUM(C913,21))</x:f>
      </x:c>
      <x:c r="G913" s="43" t="str">
        <x:f>IF(C913="","",CHOOSE(WEEKDAY(C913,2),"Lundi","Mardi","Mercredi","Jeudi","Vendredi","Samedi","Dimanche"))</x:f>
      </x:c>
      <x:c r="H913" s="43"/>
      <x:c r="I913" s="43"/>
      <x:c r="J913" s="43"/>
      <x:c r="K913" s="43"/>
      <x:c r="L913" s="43"/>
      <x:c r="M913" s="43"/>
      <x:c r="N913" s="43"/>
      <x:c r="O913" s="43"/>
      <x:c r="P913" s="43"/>
      <x:c r="Q913" s="43"/>
      <x:c r="R913" s="43"/>
      <x:c r="S913" s="43"/>
      <x:c r="T913" s="43"/>
      <x:c r="U913" s="43"/>
      <x:c r="V913" s="43"/>
      <x:c r="W913" s="43"/>
      <x:c r="X913" s="43"/>
      <x:c r="Y913" s="43"/>
      <x:c r="Z913" s="43"/>
      <x:c r="AA913" s="43"/>
      <x:c r="AB913" s="43"/>
      <x:c r="AC913" s="43"/>
      <x:c r="AD913" s="43"/>
      <x:c r="AE913" s="43"/>
      <x:c r="AF913" s="43"/>
      <x:c r="AG913" s="67"/>
      <x:c r="AH913" s="43"/>
      <x:c r="AI913" s="43"/>
    </x:row>
    <x:row r="914">
      <x:c r="A914" s="43"/>
      <x:c r="B914" s="43"/>
      <x:c r="C914" s="43"/>
      <x:c r="D914" s="43" t="str">
        <x:f>IF(C914="","",YEAR(C914))</x:f>
      </x:c>
      <x:c r="E914" s="43" t="str">
        <x:f>IF(C914="","",MONTH(C914))</x:f>
      </x:c>
      <x:c r="F914" s="43" t="str">
        <x:f>IF(C914="","",WEEKNUM(C914,21))</x:f>
      </x:c>
      <x:c r="G914" s="43" t="str">
        <x:f>IF(C914="","",CHOOSE(WEEKDAY(C914,2),"Lundi","Mardi","Mercredi","Jeudi","Vendredi","Samedi","Dimanche"))</x:f>
      </x:c>
      <x:c r="H914" s="43"/>
      <x:c r="I914" s="43"/>
      <x:c r="J914" s="43"/>
      <x:c r="K914" s="43"/>
      <x:c r="L914" s="43"/>
      <x:c r="M914" s="43"/>
      <x:c r="N914" s="43"/>
      <x:c r="O914" s="43"/>
      <x:c r="P914" s="43"/>
      <x:c r="Q914" s="43"/>
      <x:c r="R914" s="43"/>
      <x:c r="S914" s="43"/>
      <x:c r="T914" s="43"/>
      <x:c r="U914" s="43"/>
      <x:c r="V914" s="43"/>
      <x:c r="W914" s="43"/>
      <x:c r="X914" s="43"/>
      <x:c r="Y914" s="43"/>
      <x:c r="Z914" s="43"/>
      <x:c r="AA914" s="43"/>
      <x:c r="AB914" s="43"/>
      <x:c r="AC914" s="43"/>
      <x:c r="AD914" s="43"/>
      <x:c r="AE914" s="43"/>
      <x:c r="AF914" s="43"/>
      <x:c r="AG914" s="67"/>
      <x:c r="AH914" s="43"/>
      <x:c r="AI914" s="43"/>
    </x:row>
    <x:row r="915">
      <x:c r="A915" s="43"/>
      <x:c r="B915" s="43"/>
      <x:c r="C915" s="43"/>
      <x:c r="D915" s="43" t="str">
        <x:f>IF(C915="","",YEAR(C915))</x:f>
      </x:c>
      <x:c r="E915" s="43" t="str">
        <x:f>IF(C915="","",MONTH(C915))</x:f>
      </x:c>
      <x:c r="F915" s="43" t="str">
        <x:f>IF(C915="","",WEEKNUM(C915,21))</x:f>
      </x:c>
      <x:c r="G915" s="43" t="str">
        <x:f>IF(C915="","",CHOOSE(WEEKDAY(C915,2),"Lundi","Mardi","Mercredi","Jeudi","Vendredi","Samedi","Dimanche"))</x:f>
      </x:c>
      <x:c r="H915" s="43"/>
      <x:c r="I915" s="43"/>
      <x:c r="J915" s="43"/>
      <x:c r="K915" s="43"/>
      <x:c r="L915" s="43"/>
      <x:c r="M915" s="43"/>
      <x:c r="N915" s="43"/>
      <x:c r="O915" s="43"/>
      <x:c r="P915" s="43"/>
      <x:c r="Q915" s="43"/>
      <x:c r="R915" s="43"/>
      <x:c r="S915" s="43"/>
      <x:c r="T915" s="43"/>
      <x:c r="U915" s="43"/>
      <x:c r="V915" s="43"/>
      <x:c r="W915" s="43"/>
      <x:c r="X915" s="43"/>
      <x:c r="Y915" s="43"/>
      <x:c r="Z915" s="43"/>
      <x:c r="AA915" s="43"/>
      <x:c r="AB915" s="43"/>
      <x:c r="AC915" s="43"/>
      <x:c r="AD915" s="43"/>
      <x:c r="AE915" s="43"/>
      <x:c r="AF915" s="43"/>
      <x:c r="AG915" s="67"/>
      <x:c r="AH915" s="43"/>
      <x:c r="AI915" s="43"/>
    </x:row>
    <x:row r="916">
      <x:c r="A916" s="43"/>
      <x:c r="B916" s="43"/>
      <x:c r="C916" s="43"/>
      <x:c r="D916" s="43" t="str">
        <x:f>IF(C916="","",YEAR(C916))</x:f>
      </x:c>
      <x:c r="E916" s="43" t="str">
        <x:f>IF(C916="","",MONTH(C916))</x:f>
      </x:c>
      <x:c r="F916" s="43" t="str">
        <x:f>IF(C916="","",WEEKNUM(C916,21))</x:f>
      </x:c>
      <x:c r="G916" s="43" t="str">
        <x:f>IF(C916="","",CHOOSE(WEEKDAY(C916,2),"Lundi","Mardi","Mercredi","Jeudi","Vendredi","Samedi","Dimanche"))</x:f>
      </x:c>
      <x:c r="H916" s="43"/>
      <x:c r="I916" s="43"/>
      <x:c r="J916" s="43"/>
      <x:c r="K916" s="43"/>
      <x:c r="L916" s="43"/>
      <x:c r="M916" s="43"/>
      <x:c r="N916" s="43"/>
      <x:c r="O916" s="43"/>
      <x:c r="P916" s="43"/>
      <x:c r="Q916" s="43"/>
      <x:c r="R916" s="43"/>
      <x:c r="S916" s="43"/>
      <x:c r="T916" s="43"/>
      <x:c r="U916" s="43"/>
      <x:c r="V916" s="43"/>
      <x:c r="W916" s="43"/>
      <x:c r="X916" s="43"/>
      <x:c r="Y916" s="43"/>
      <x:c r="Z916" s="43"/>
      <x:c r="AA916" s="43"/>
      <x:c r="AB916" s="43"/>
      <x:c r="AC916" s="43"/>
      <x:c r="AD916" s="43"/>
      <x:c r="AE916" s="43"/>
      <x:c r="AF916" s="43"/>
      <x:c r="AG916" s="67"/>
      <x:c r="AH916" s="43"/>
      <x:c r="AI916" s="43"/>
    </x:row>
    <x:row r="917">
      <x:c r="A917" s="43"/>
      <x:c r="B917" s="43"/>
      <x:c r="C917" s="43"/>
      <x:c r="D917" s="43" t="str">
        <x:f>IF(C917="","",YEAR(C917))</x:f>
      </x:c>
      <x:c r="E917" s="43" t="str">
        <x:f>IF(C917="","",MONTH(C917))</x:f>
      </x:c>
      <x:c r="F917" s="43" t="str">
        <x:f>IF(C917="","",WEEKNUM(C917,21))</x:f>
      </x:c>
      <x:c r="G917" s="43" t="str">
        <x:f>IF(C917="","",CHOOSE(WEEKDAY(C917,2),"Lundi","Mardi","Mercredi","Jeudi","Vendredi","Samedi","Dimanche"))</x:f>
      </x:c>
      <x:c r="H917" s="43"/>
      <x:c r="I917" s="43"/>
      <x:c r="J917" s="43"/>
      <x:c r="K917" s="43"/>
      <x:c r="L917" s="43"/>
      <x:c r="M917" s="43"/>
      <x:c r="N917" s="43"/>
      <x:c r="O917" s="43"/>
      <x:c r="P917" s="43"/>
      <x:c r="Q917" s="43"/>
      <x:c r="R917" s="43"/>
      <x:c r="S917" s="43"/>
      <x:c r="T917" s="43"/>
      <x:c r="U917" s="43"/>
      <x:c r="V917" s="43"/>
      <x:c r="W917" s="43"/>
      <x:c r="X917" s="43"/>
      <x:c r="Y917" s="43"/>
      <x:c r="Z917" s="43"/>
      <x:c r="AA917" s="43"/>
      <x:c r="AB917" s="43"/>
      <x:c r="AC917" s="43"/>
      <x:c r="AD917" s="43"/>
      <x:c r="AE917" s="43"/>
      <x:c r="AF917" s="43"/>
      <x:c r="AG917" s="67"/>
      <x:c r="AH917" s="43"/>
      <x:c r="AI917" s="43"/>
    </x:row>
    <x:row r="918">
      <x:c r="A918" s="43"/>
      <x:c r="B918" s="43"/>
      <x:c r="C918" s="43"/>
      <x:c r="D918" s="43" t="str">
        <x:f>IF(C918="","",YEAR(C918))</x:f>
      </x:c>
      <x:c r="E918" s="43" t="str">
        <x:f>IF(C918="","",MONTH(C918))</x:f>
      </x:c>
      <x:c r="F918" s="43" t="str">
        <x:f>IF(C918="","",WEEKNUM(C918,21))</x:f>
      </x:c>
      <x:c r="G918" s="43" t="str">
        <x:f>IF(C918="","",CHOOSE(WEEKDAY(C918,2),"Lundi","Mardi","Mercredi","Jeudi","Vendredi","Samedi","Dimanche"))</x:f>
      </x:c>
      <x:c r="H918" s="43"/>
      <x:c r="I918" s="43"/>
      <x:c r="J918" s="43"/>
      <x:c r="K918" s="43"/>
      <x:c r="L918" s="43"/>
      <x:c r="M918" s="43"/>
      <x:c r="N918" s="43"/>
      <x:c r="O918" s="43"/>
      <x:c r="P918" s="43"/>
      <x:c r="Q918" s="43"/>
      <x:c r="R918" s="43"/>
      <x:c r="S918" s="43"/>
      <x:c r="T918" s="43"/>
      <x:c r="U918" s="43"/>
      <x:c r="V918" s="43"/>
      <x:c r="W918" s="43"/>
      <x:c r="X918" s="43"/>
      <x:c r="Y918" s="43"/>
      <x:c r="Z918" s="43"/>
      <x:c r="AA918" s="43"/>
      <x:c r="AB918" s="43"/>
      <x:c r="AC918" s="43"/>
      <x:c r="AD918" s="43"/>
      <x:c r="AE918" s="43"/>
      <x:c r="AF918" s="43"/>
      <x:c r="AG918" s="67"/>
      <x:c r="AH918" s="43"/>
      <x:c r="AI918" s="43"/>
    </x:row>
    <x:row r="919">
      <x:c r="A919" s="43"/>
      <x:c r="B919" s="43"/>
      <x:c r="C919" s="43"/>
      <x:c r="D919" s="43" t="str">
        <x:f>IF(C919="","",YEAR(C919))</x:f>
      </x:c>
      <x:c r="E919" s="43" t="str">
        <x:f>IF(C919="","",MONTH(C919))</x:f>
      </x:c>
      <x:c r="F919" s="43" t="str">
        <x:f>IF(C919="","",WEEKNUM(C919,21))</x:f>
      </x:c>
      <x:c r="G919" s="43" t="str">
        <x:f>IF(C919="","",CHOOSE(WEEKDAY(C919,2),"Lundi","Mardi","Mercredi","Jeudi","Vendredi","Samedi","Dimanche"))</x:f>
      </x:c>
      <x:c r="H919" s="43"/>
      <x:c r="I919" s="43"/>
      <x:c r="J919" s="43"/>
      <x:c r="K919" s="43"/>
      <x:c r="L919" s="43"/>
      <x:c r="M919" s="43"/>
      <x:c r="N919" s="43"/>
      <x:c r="O919" s="43"/>
      <x:c r="P919" s="43"/>
      <x:c r="Q919" s="43"/>
      <x:c r="R919" s="43"/>
      <x:c r="S919" s="43"/>
      <x:c r="T919" s="43"/>
      <x:c r="U919" s="43"/>
      <x:c r="V919" s="43"/>
      <x:c r="W919" s="43"/>
      <x:c r="X919" s="43"/>
      <x:c r="Y919" s="43"/>
      <x:c r="Z919" s="43"/>
      <x:c r="AA919" s="43"/>
      <x:c r="AB919" s="43"/>
      <x:c r="AC919" s="43"/>
      <x:c r="AD919" s="43"/>
      <x:c r="AE919" s="43"/>
      <x:c r="AF919" s="43"/>
      <x:c r="AG919" s="67"/>
      <x:c r="AH919" s="43"/>
      <x:c r="AI919" s="43"/>
    </x:row>
    <x:row r="920">
      <x:c r="A920" s="43"/>
      <x:c r="B920" s="43"/>
      <x:c r="C920" s="43"/>
      <x:c r="D920" s="43" t="str">
        <x:f>IF(C920="","",YEAR(C920))</x:f>
      </x:c>
      <x:c r="E920" s="43" t="str">
        <x:f>IF(C920="","",MONTH(C920))</x:f>
      </x:c>
      <x:c r="F920" s="43" t="str">
        <x:f>IF(C920="","",WEEKNUM(C920,21))</x:f>
      </x:c>
      <x:c r="G920" s="43" t="str">
        <x:f>IF(C920="","",CHOOSE(WEEKDAY(C920,2),"Lundi","Mardi","Mercredi","Jeudi","Vendredi","Samedi","Dimanche"))</x:f>
      </x:c>
      <x:c r="H920" s="43"/>
      <x:c r="I920" s="43"/>
      <x:c r="J920" s="43"/>
      <x:c r="K920" s="43"/>
      <x:c r="L920" s="43"/>
      <x:c r="M920" s="43"/>
      <x:c r="N920" s="43"/>
      <x:c r="O920" s="43"/>
      <x:c r="P920" s="43"/>
      <x:c r="Q920" s="43"/>
      <x:c r="R920" s="43"/>
      <x:c r="S920" s="43"/>
      <x:c r="T920" s="43"/>
      <x:c r="U920" s="43"/>
      <x:c r="V920" s="43"/>
      <x:c r="W920" s="43"/>
      <x:c r="X920" s="43"/>
      <x:c r="Y920" s="43"/>
      <x:c r="Z920" s="43"/>
      <x:c r="AA920" s="43"/>
      <x:c r="AB920" s="43"/>
      <x:c r="AC920" s="43"/>
      <x:c r="AD920" s="43"/>
      <x:c r="AE920" s="43"/>
      <x:c r="AF920" s="43"/>
      <x:c r="AG920" s="67"/>
      <x:c r="AH920" s="43"/>
      <x:c r="AI920" s="43"/>
    </x:row>
    <x:row r="921">
      <x:c r="A921" s="43"/>
      <x:c r="B921" s="43"/>
      <x:c r="C921" s="43"/>
      <x:c r="D921" s="43" t="str">
        <x:f>IF(C921="","",YEAR(C921))</x:f>
      </x:c>
      <x:c r="E921" s="43" t="str">
        <x:f>IF(C921="","",MONTH(C921))</x:f>
      </x:c>
      <x:c r="F921" s="43" t="str">
        <x:f>IF(C921="","",WEEKNUM(C921,21))</x:f>
      </x:c>
      <x:c r="G921" s="43" t="str">
        <x:f>IF(C921="","",CHOOSE(WEEKDAY(C921,2),"Lundi","Mardi","Mercredi","Jeudi","Vendredi","Samedi","Dimanche"))</x:f>
      </x:c>
      <x:c r="H921" s="43"/>
      <x:c r="I921" s="43"/>
      <x:c r="J921" s="43"/>
      <x:c r="K921" s="43"/>
      <x:c r="L921" s="43"/>
      <x:c r="M921" s="43"/>
      <x:c r="N921" s="43"/>
      <x:c r="O921" s="43"/>
      <x:c r="P921" s="43"/>
      <x:c r="Q921" s="43"/>
      <x:c r="R921" s="43"/>
      <x:c r="S921" s="43"/>
      <x:c r="T921" s="43"/>
      <x:c r="U921" s="43"/>
      <x:c r="V921" s="43"/>
      <x:c r="W921" s="43"/>
      <x:c r="X921" s="43"/>
      <x:c r="Y921" s="43"/>
      <x:c r="Z921" s="43"/>
      <x:c r="AA921" s="43"/>
      <x:c r="AB921" s="43"/>
      <x:c r="AC921" s="43"/>
      <x:c r="AD921" s="43"/>
      <x:c r="AE921" s="43"/>
      <x:c r="AF921" s="43"/>
      <x:c r="AG921" s="67"/>
      <x:c r="AH921" s="43"/>
      <x:c r="AI921" s="43"/>
    </x:row>
    <x:row r="922">
      <x:c r="A922" s="43"/>
      <x:c r="B922" s="43"/>
      <x:c r="C922" s="43"/>
      <x:c r="D922" s="43" t="str">
        <x:f>IF(C922="","",YEAR(C922))</x:f>
      </x:c>
      <x:c r="E922" s="43" t="str">
        <x:f>IF(C922="","",MONTH(C922))</x:f>
      </x:c>
      <x:c r="F922" s="43" t="str">
        <x:f>IF(C922="","",WEEKNUM(C922,21))</x:f>
      </x:c>
      <x:c r="G922" s="43" t="str">
        <x:f>IF(C922="","",CHOOSE(WEEKDAY(C922,2),"Lundi","Mardi","Mercredi","Jeudi","Vendredi","Samedi","Dimanche"))</x:f>
      </x:c>
      <x:c r="H922" s="43"/>
      <x:c r="I922" s="43"/>
      <x:c r="J922" s="43"/>
      <x:c r="K922" s="43"/>
      <x:c r="L922" s="43"/>
      <x:c r="M922" s="43"/>
      <x:c r="N922" s="43"/>
      <x:c r="O922" s="43"/>
      <x:c r="P922" s="43"/>
      <x:c r="Q922" s="43"/>
      <x:c r="R922" s="43"/>
      <x:c r="S922" s="43"/>
      <x:c r="T922" s="43"/>
      <x:c r="U922" s="43"/>
      <x:c r="V922" s="43"/>
      <x:c r="W922" s="43"/>
      <x:c r="X922" s="43"/>
      <x:c r="Y922" s="43"/>
      <x:c r="Z922" s="43"/>
      <x:c r="AA922" s="43"/>
      <x:c r="AB922" s="43"/>
      <x:c r="AC922" s="43"/>
      <x:c r="AD922" s="43"/>
      <x:c r="AE922" s="43"/>
      <x:c r="AF922" s="43"/>
      <x:c r="AG922" s="67"/>
      <x:c r="AH922" s="43"/>
      <x:c r="AI922" s="43"/>
    </x:row>
    <x:row r="923">
      <x:c r="A923" s="43"/>
      <x:c r="B923" s="43"/>
      <x:c r="C923" s="43"/>
      <x:c r="D923" s="43" t="str">
        <x:f>IF(C923="","",YEAR(C923))</x:f>
      </x:c>
      <x:c r="E923" s="43" t="str">
        <x:f>IF(C923="","",MONTH(C923))</x:f>
      </x:c>
      <x:c r="F923" s="43" t="str">
        <x:f>IF(C923="","",WEEKNUM(C923,21))</x:f>
      </x:c>
      <x:c r="G923" s="43" t="str">
        <x:f>IF(C923="","",CHOOSE(WEEKDAY(C923,2),"Lundi","Mardi","Mercredi","Jeudi","Vendredi","Samedi","Dimanche"))</x:f>
      </x:c>
      <x:c r="H923" s="43"/>
      <x:c r="I923" s="43"/>
      <x:c r="J923" s="43"/>
      <x:c r="K923" s="43"/>
      <x:c r="L923" s="43"/>
      <x:c r="M923" s="43"/>
      <x:c r="N923" s="43"/>
      <x:c r="O923" s="43"/>
      <x:c r="P923" s="43"/>
      <x:c r="Q923" s="43"/>
      <x:c r="R923" s="43"/>
      <x:c r="S923" s="43"/>
      <x:c r="T923" s="43"/>
      <x:c r="U923" s="43"/>
      <x:c r="V923" s="43"/>
      <x:c r="W923" s="43"/>
      <x:c r="X923" s="43"/>
      <x:c r="Y923" s="43"/>
      <x:c r="Z923" s="43"/>
      <x:c r="AA923" s="43"/>
      <x:c r="AB923" s="43"/>
      <x:c r="AC923" s="43"/>
      <x:c r="AD923" s="43"/>
      <x:c r="AE923" s="43"/>
      <x:c r="AF923" s="43"/>
      <x:c r="AG923" s="67"/>
      <x:c r="AH923" s="43"/>
      <x:c r="AI923" s="43"/>
    </x:row>
    <x:row r="924">
      <x:c r="A924" s="43"/>
      <x:c r="B924" s="43"/>
      <x:c r="C924" s="43"/>
      <x:c r="D924" s="43" t="str">
        <x:f>IF(C924="","",YEAR(C924))</x:f>
      </x:c>
      <x:c r="E924" s="43" t="str">
        <x:f>IF(C924="","",MONTH(C924))</x:f>
      </x:c>
      <x:c r="F924" s="43" t="str">
        <x:f>IF(C924="","",WEEKNUM(C924,21))</x:f>
      </x:c>
      <x:c r="G924" s="43" t="str">
        <x:f>IF(C924="","",CHOOSE(WEEKDAY(C924,2),"Lundi","Mardi","Mercredi","Jeudi","Vendredi","Samedi","Dimanche"))</x:f>
      </x:c>
      <x:c r="H924" s="43"/>
      <x:c r="I924" s="43"/>
      <x:c r="J924" s="43"/>
      <x:c r="K924" s="43"/>
      <x:c r="L924" s="43"/>
      <x:c r="M924" s="43"/>
      <x:c r="N924" s="43"/>
      <x:c r="O924" s="43"/>
      <x:c r="P924" s="43"/>
      <x:c r="Q924" s="43"/>
      <x:c r="R924" s="43"/>
      <x:c r="S924" s="43"/>
      <x:c r="T924" s="43"/>
      <x:c r="U924" s="43"/>
      <x:c r="V924" s="43"/>
      <x:c r="W924" s="43"/>
      <x:c r="X924" s="43"/>
      <x:c r="Y924" s="43"/>
      <x:c r="Z924" s="43"/>
      <x:c r="AA924" s="43"/>
      <x:c r="AB924" s="43"/>
      <x:c r="AC924" s="43"/>
      <x:c r="AD924" s="43"/>
      <x:c r="AE924" s="43"/>
      <x:c r="AF924" s="43"/>
      <x:c r="AG924" s="67"/>
      <x:c r="AH924" s="43"/>
      <x:c r="AI924" s="43"/>
    </x:row>
    <x:row r="925">
      <x:c r="A925" s="43"/>
      <x:c r="B925" s="43"/>
      <x:c r="C925" s="43"/>
      <x:c r="D925" s="43" t="str">
        <x:f>IF(C925="","",YEAR(C925))</x:f>
      </x:c>
      <x:c r="E925" s="43" t="str">
        <x:f>IF(C925="","",MONTH(C925))</x:f>
      </x:c>
      <x:c r="F925" s="43" t="str">
        <x:f>IF(C925="","",WEEKNUM(C925,21))</x:f>
      </x:c>
      <x:c r="G925" s="43" t="str">
        <x:f>IF(C925="","",CHOOSE(WEEKDAY(C925,2),"Lundi","Mardi","Mercredi","Jeudi","Vendredi","Samedi","Dimanche"))</x:f>
      </x:c>
      <x:c r="H925" s="43"/>
      <x:c r="I925" s="43"/>
      <x:c r="J925" s="43"/>
      <x:c r="K925" s="43"/>
      <x:c r="L925" s="43"/>
      <x:c r="M925" s="43"/>
      <x:c r="N925" s="43"/>
      <x:c r="O925" s="43"/>
      <x:c r="P925" s="43"/>
      <x:c r="Q925" s="43"/>
      <x:c r="R925" s="43"/>
      <x:c r="S925" s="43"/>
      <x:c r="T925" s="43"/>
      <x:c r="U925" s="43"/>
      <x:c r="V925" s="43"/>
      <x:c r="W925" s="43"/>
      <x:c r="X925" s="43"/>
      <x:c r="Y925" s="43"/>
      <x:c r="Z925" s="43"/>
      <x:c r="AA925" s="43"/>
      <x:c r="AB925" s="43"/>
      <x:c r="AC925" s="43"/>
      <x:c r="AD925" s="43"/>
      <x:c r="AE925" s="43"/>
      <x:c r="AF925" s="43"/>
      <x:c r="AG925" s="67"/>
      <x:c r="AH925" s="43"/>
      <x:c r="AI925" s="43"/>
    </x:row>
    <x:row r="926">
      <x:c r="A926" s="43"/>
      <x:c r="B926" s="43"/>
      <x:c r="C926" s="43"/>
      <x:c r="D926" s="43" t="str">
        <x:f>IF(C926="","",YEAR(C926))</x:f>
      </x:c>
      <x:c r="E926" s="43" t="str">
        <x:f>IF(C926="","",MONTH(C926))</x:f>
      </x:c>
      <x:c r="F926" s="43" t="str">
        <x:f>IF(C926="","",WEEKNUM(C926,21))</x:f>
      </x:c>
      <x:c r="G926" s="43" t="str">
        <x:f>IF(C926="","",CHOOSE(WEEKDAY(C926,2),"Lundi","Mardi","Mercredi","Jeudi","Vendredi","Samedi","Dimanche"))</x:f>
      </x:c>
      <x:c r="H926" s="43"/>
      <x:c r="I926" s="43"/>
      <x:c r="J926" s="43"/>
      <x:c r="K926" s="43"/>
      <x:c r="L926" s="43"/>
      <x:c r="M926" s="43"/>
      <x:c r="N926" s="43"/>
      <x:c r="O926" s="43"/>
      <x:c r="P926" s="43"/>
      <x:c r="Q926" s="43"/>
      <x:c r="R926" s="43"/>
      <x:c r="S926" s="43"/>
      <x:c r="T926" s="43"/>
      <x:c r="U926" s="43"/>
      <x:c r="V926" s="43"/>
      <x:c r="W926" s="43"/>
      <x:c r="X926" s="43"/>
      <x:c r="Y926" s="43"/>
      <x:c r="Z926" s="43"/>
      <x:c r="AA926" s="43"/>
      <x:c r="AB926" s="43"/>
      <x:c r="AC926" s="43"/>
      <x:c r="AD926" s="43"/>
      <x:c r="AE926" s="43"/>
      <x:c r="AF926" s="43"/>
      <x:c r="AG926" s="67"/>
      <x:c r="AH926" s="43"/>
      <x:c r="AI926" s="43"/>
    </x:row>
    <x:row r="927">
      <x:c r="A927" s="43"/>
      <x:c r="B927" s="43"/>
      <x:c r="C927" s="43"/>
      <x:c r="D927" s="43" t="str">
        <x:f>IF(C927="","",YEAR(C927))</x:f>
      </x:c>
      <x:c r="E927" s="43" t="str">
        <x:f>IF(C927="","",MONTH(C927))</x:f>
      </x:c>
      <x:c r="F927" s="43" t="str">
        <x:f>IF(C927="","",WEEKNUM(C927,21))</x:f>
      </x:c>
      <x:c r="G927" s="43" t="str">
        <x:f>IF(C927="","",CHOOSE(WEEKDAY(C927,2),"Lundi","Mardi","Mercredi","Jeudi","Vendredi","Samedi","Dimanche"))</x:f>
      </x:c>
      <x:c r="H927" s="43"/>
      <x:c r="I927" s="43"/>
      <x:c r="J927" s="43"/>
      <x:c r="K927" s="43"/>
      <x:c r="L927" s="43"/>
      <x:c r="M927" s="43"/>
      <x:c r="N927" s="43"/>
      <x:c r="O927" s="43"/>
      <x:c r="P927" s="43"/>
      <x:c r="Q927" s="43"/>
      <x:c r="R927" s="43"/>
      <x:c r="S927" s="43"/>
      <x:c r="T927" s="43"/>
      <x:c r="U927" s="43"/>
      <x:c r="V927" s="43"/>
      <x:c r="W927" s="43"/>
      <x:c r="X927" s="43"/>
      <x:c r="Y927" s="43"/>
      <x:c r="Z927" s="43"/>
      <x:c r="AA927" s="43"/>
      <x:c r="AB927" s="43"/>
      <x:c r="AC927" s="43"/>
      <x:c r="AD927" s="43"/>
      <x:c r="AE927" s="43"/>
      <x:c r="AF927" s="43"/>
      <x:c r="AG927" s="67"/>
      <x:c r="AH927" s="43"/>
      <x:c r="AI927" s="43"/>
    </x:row>
    <x:row r="928">
      <x:c r="A928" s="43"/>
      <x:c r="B928" s="43"/>
      <x:c r="C928" s="43"/>
      <x:c r="D928" s="43" t="str">
        <x:f>IF(C928="","",YEAR(C928))</x:f>
      </x:c>
      <x:c r="E928" s="43" t="str">
        <x:f>IF(C928="","",MONTH(C928))</x:f>
      </x:c>
      <x:c r="F928" s="43" t="str">
        <x:f>IF(C928="","",WEEKNUM(C928,21))</x:f>
      </x:c>
      <x:c r="G928" s="43" t="str">
        <x:f>IF(C928="","",CHOOSE(WEEKDAY(C928,2),"Lundi","Mardi","Mercredi","Jeudi","Vendredi","Samedi","Dimanche"))</x:f>
      </x:c>
      <x:c r="H928" s="43"/>
      <x:c r="I928" s="43"/>
      <x:c r="J928" s="43"/>
      <x:c r="K928" s="43"/>
      <x:c r="L928" s="43"/>
      <x:c r="M928" s="43"/>
      <x:c r="N928" s="43"/>
      <x:c r="O928" s="43"/>
      <x:c r="P928" s="43"/>
      <x:c r="Q928" s="43"/>
      <x:c r="R928" s="43"/>
      <x:c r="S928" s="43"/>
      <x:c r="T928" s="43"/>
      <x:c r="U928" s="43"/>
      <x:c r="V928" s="43"/>
      <x:c r="W928" s="43"/>
      <x:c r="X928" s="43"/>
      <x:c r="Y928" s="43"/>
      <x:c r="Z928" s="43"/>
      <x:c r="AA928" s="43"/>
      <x:c r="AB928" s="43"/>
      <x:c r="AC928" s="43"/>
      <x:c r="AD928" s="43"/>
      <x:c r="AE928" s="43"/>
      <x:c r="AF928" s="43"/>
      <x:c r="AG928" s="67"/>
      <x:c r="AH928" s="43"/>
      <x:c r="AI928" s="43"/>
    </x:row>
    <x:row r="929">
      <x:c r="A929" s="43"/>
      <x:c r="B929" s="43"/>
      <x:c r="C929" s="43"/>
      <x:c r="D929" s="43" t="str">
        <x:f>IF(C929="","",YEAR(C929))</x:f>
      </x:c>
      <x:c r="E929" s="43" t="str">
        <x:f>IF(C929="","",MONTH(C929))</x:f>
      </x:c>
      <x:c r="F929" s="43" t="str">
        <x:f>IF(C929="","",WEEKNUM(C929,21))</x:f>
      </x:c>
      <x:c r="G929" s="43" t="str">
        <x:f>IF(C929="","",CHOOSE(WEEKDAY(C929,2),"Lundi","Mardi","Mercredi","Jeudi","Vendredi","Samedi","Dimanche"))</x:f>
      </x:c>
      <x:c r="H929" s="43"/>
      <x:c r="I929" s="43"/>
      <x:c r="J929" s="43"/>
      <x:c r="K929" s="43"/>
      <x:c r="L929" s="43"/>
      <x:c r="M929" s="43"/>
      <x:c r="N929" s="43"/>
      <x:c r="O929" s="43"/>
      <x:c r="P929" s="43"/>
      <x:c r="Q929" s="43"/>
      <x:c r="R929" s="43"/>
      <x:c r="S929" s="43"/>
      <x:c r="T929" s="43"/>
      <x:c r="U929" s="43"/>
      <x:c r="V929" s="43"/>
      <x:c r="W929" s="43"/>
      <x:c r="X929" s="43"/>
      <x:c r="Y929" s="43"/>
      <x:c r="Z929" s="43"/>
      <x:c r="AA929" s="43"/>
      <x:c r="AB929" s="43"/>
      <x:c r="AC929" s="43"/>
      <x:c r="AD929" s="43"/>
      <x:c r="AE929" s="43"/>
      <x:c r="AF929" s="43"/>
      <x:c r="AG929" s="67"/>
      <x:c r="AH929" s="43"/>
      <x:c r="AI929" s="43"/>
    </x:row>
    <x:row r="930">
      <x:c r="A930" s="43"/>
      <x:c r="B930" s="43"/>
      <x:c r="C930" s="43"/>
      <x:c r="D930" s="43" t="str">
        <x:f>IF(C930="","",YEAR(C930))</x:f>
      </x:c>
      <x:c r="E930" s="43" t="str">
        <x:f>IF(C930="","",MONTH(C930))</x:f>
      </x:c>
      <x:c r="F930" s="43" t="str">
        <x:f>IF(C930="","",WEEKNUM(C930,21))</x:f>
      </x:c>
      <x:c r="G930" s="43" t="str">
        <x:f>IF(C930="","",CHOOSE(WEEKDAY(C930,2),"Lundi","Mardi","Mercredi","Jeudi","Vendredi","Samedi","Dimanche"))</x:f>
      </x:c>
      <x:c r="H930" s="43"/>
      <x:c r="I930" s="43"/>
      <x:c r="J930" s="43"/>
      <x:c r="K930" s="43"/>
      <x:c r="L930" s="43"/>
      <x:c r="M930" s="43"/>
      <x:c r="N930" s="43"/>
      <x:c r="O930" s="43"/>
      <x:c r="P930" s="43"/>
      <x:c r="Q930" s="43"/>
      <x:c r="R930" s="43"/>
      <x:c r="S930" s="43"/>
      <x:c r="T930" s="43"/>
      <x:c r="U930" s="43"/>
      <x:c r="V930" s="43"/>
      <x:c r="W930" s="43"/>
      <x:c r="X930" s="43"/>
      <x:c r="Y930" s="43"/>
      <x:c r="Z930" s="43"/>
      <x:c r="AA930" s="43"/>
      <x:c r="AB930" s="43"/>
      <x:c r="AC930" s="43"/>
      <x:c r="AD930" s="43"/>
      <x:c r="AE930" s="43"/>
      <x:c r="AF930" s="43"/>
      <x:c r="AG930" s="67"/>
      <x:c r="AH930" s="43"/>
      <x:c r="AI930" s="43"/>
    </x:row>
    <x:row r="931">
      <x:c r="A931" s="43"/>
      <x:c r="B931" s="43"/>
      <x:c r="C931" s="43"/>
      <x:c r="D931" s="43" t="str">
        <x:f>IF(C931="","",YEAR(C931))</x:f>
      </x:c>
      <x:c r="E931" s="43" t="str">
        <x:f>IF(C931="","",MONTH(C931))</x:f>
      </x:c>
      <x:c r="F931" s="43" t="str">
        <x:f>IF(C931="","",WEEKNUM(C931,21))</x:f>
      </x:c>
      <x:c r="G931" s="43" t="str">
        <x:f>IF(C931="","",CHOOSE(WEEKDAY(C931,2),"Lundi","Mardi","Mercredi","Jeudi","Vendredi","Samedi","Dimanche"))</x:f>
      </x:c>
      <x:c r="H931" s="43"/>
      <x:c r="I931" s="43"/>
      <x:c r="J931" s="43"/>
      <x:c r="K931" s="43"/>
      <x:c r="L931" s="43"/>
      <x:c r="M931" s="43"/>
      <x:c r="N931" s="43"/>
      <x:c r="O931" s="43"/>
      <x:c r="P931" s="43"/>
      <x:c r="Q931" s="43"/>
      <x:c r="R931" s="43"/>
      <x:c r="S931" s="43"/>
      <x:c r="T931" s="43"/>
      <x:c r="U931" s="43"/>
      <x:c r="V931" s="43"/>
      <x:c r="W931" s="43"/>
      <x:c r="X931" s="43"/>
      <x:c r="Y931" s="43"/>
      <x:c r="Z931" s="43"/>
      <x:c r="AA931" s="43"/>
      <x:c r="AB931" s="43"/>
      <x:c r="AC931" s="43"/>
      <x:c r="AD931" s="43"/>
      <x:c r="AE931" s="43"/>
      <x:c r="AF931" s="43"/>
      <x:c r="AG931" s="67"/>
      <x:c r="AH931" s="43"/>
      <x:c r="AI931" s="43"/>
    </x:row>
    <x:row r="932">
      <x:c r="A932" s="43"/>
      <x:c r="B932" s="43"/>
      <x:c r="C932" s="43"/>
      <x:c r="D932" s="43" t="str">
        <x:f>IF(C932="","",YEAR(C932))</x:f>
      </x:c>
      <x:c r="E932" s="43" t="str">
        <x:f>IF(C932="","",MONTH(C932))</x:f>
      </x:c>
      <x:c r="F932" s="43" t="str">
        <x:f>IF(C932="","",WEEKNUM(C932,21))</x:f>
      </x:c>
      <x:c r="G932" s="43" t="str">
        <x:f>IF(C932="","",CHOOSE(WEEKDAY(C932,2),"Lundi","Mardi","Mercredi","Jeudi","Vendredi","Samedi","Dimanche"))</x:f>
      </x:c>
      <x:c r="H932" s="43"/>
      <x:c r="I932" s="43"/>
      <x:c r="J932" s="43"/>
      <x:c r="K932" s="43"/>
      <x:c r="L932" s="43"/>
      <x:c r="M932" s="43"/>
      <x:c r="N932" s="43"/>
      <x:c r="O932" s="43"/>
      <x:c r="P932" s="43"/>
      <x:c r="Q932" s="43"/>
      <x:c r="R932" s="43"/>
      <x:c r="S932" s="43"/>
      <x:c r="T932" s="43"/>
      <x:c r="U932" s="43"/>
      <x:c r="V932" s="43"/>
      <x:c r="W932" s="43"/>
      <x:c r="X932" s="43"/>
      <x:c r="Y932" s="43"/>
      <x:c r="Z932" s="43"/>
      <x:c r="AA932" s="43"/>
      <x:c r="AB932" s="43"/>
      <x:c r="AC932" s="43"/>
      <x:c r="AD932" s="43"/>
      <x:c r="AE932" s="43"/>
      <x:c r="AF932" s="43"/>
      <x:c r="AG932" s="67"/>
      <x:c r="AH932" s="43"/>
      <x:c r="AI932" s="43"/>
    </x:row>
    <x:row r="933">
      <x:c r="A933" s="43"/>
      <x:c r="B933" s="43"/>
      <x:c r="C933" s="43"/>
      <x:c r="D933" s="43" t="str">
        <x:f>IF(C933="","",YEAR(C933))</x:f>
      </x:c>
      <x:c r="E933" s="43" t="str">
        <x:f>IF(C933="","",MONTH(C933))</x:f>
      </x:c>
      <x:c r="F933" s="43" t="str">
        <x:f>IF(C933="","",WEEKNUM(C933,21))</x:f>
      </x:c>
      <x:c r="G933" s="43" t="str">
        <x:f>IF(C933="","",CHOOSE(WEEKDAY(C933,2),"Lundi","Mardi","Mercredi","Jeudi","Vendredi","Samedi","Dimanche"))</x:f>
      </x:c>
      <x:c r="H933" s="43"/>
      <x:c r="I933" s="43"/>
      <x:c r="J933" s="43"/>
      <x:c r="K933" s="43"/>
      <x:c r="L933" s="43"/>
      <x:c r="M933" s="43"/>
      <x:c r="N933" s="43"/>
      <x:c r="O933" s="43"/>
      <x:c r="P933" s="43"/>
      <x:c r="Q933" s="43"/>
      <x:c r="R933" s="43"/>
      <x:c r="S933" s="43"/>
      <x:c r="T933" s="43"/>
      <x:c r="U933" s="43"/>
      <x:c r="V933" s="43"/>
      <x:c r="W933" s="43"/>
      <x:c r="X933" s="43"/>
      <x:c r="Y933" s="43"/>
      <x:c r="Z933" s="43"/>
      <x:c r="AA933" s="43"/>
      <x:c r="AB933" s="43"/>
      <x:c r="AC933" s="43"/>
      <x:c r="AD933" s="43"/>
      <x:c r="AE933" s="43"/>
      <x:c r="AF933" s="43"/>
      <x:c r="AG933" s="67"/>
      <x:c r="AH933" s="43"/>
      <x:c r="AI933" s="43"/>
    </x:row>
    <x:row r="934">
      <x:c r="A934" s="43"/>
      <x:c r="B934" s="43"/>
      <x:c r="C934" s="43"/>
      <x:c r="D934" s="43" t="str">
        <x:f>IF(C934="","",YEAR(C934))</x:f>
      </x:c>
      <x:c r="E934" s="43" t="str">
        <x:f>IF(C934="","",MONTH(C934))</x:f>
      </x:c>
      <x:c r="F934" s="43" t="str">
        <x:f>IF(C934="","",WEEKNUM(C934,21))</x:f>
      </x:c>
      <x:c r="G934" s="43" t="str">
        <x:f>IF(C934="","",CHOOSE(WEEKDAY(C934,2),"Lundi","Mardi","Mercredi","Jeudi","Vendredi","Samedi","Dimanche"))</x:f>
      </x:c>
      <x:c r="H934" s="43"/>
      <x:c r="I934" s="43"/>
      <x:c r="J934" s="43"/>
      <x:c r="K934" s="43"/>
      <x:c r="L934" s="43"/>
      <x:c r="M934" s="43"/>
      <x:c r="N934" s="43"/>
      <x:c r="O934" s="43"/>
      <x:c r="P934" s="43"/>
      <x:c r="Q934" s="43"/>
      <x:c r="R934" s="43"/>
      <x:c r="S934" s="43"/>
      <x:c r="T934" s="43"/>
      <x:c r="U934" s="43"/>
      <x:c r="V934" s="43"/>
      <x:c r="W934" s="43"/>
      <x:c r="X934" s="43"/>
      <x:c r="Y934" s="43"/>
      <x:c r="Z934" s="43"/>
      <x:c r="AA934" s="43"/>
      <x:c r="AB934" s="43"/>
      <x:c r="AC934" s="43"/>
      <x:c r="AD934" s="43"/>
      <x:c r="AE934" s="43"/>
      <x:c r="AF934" s="43"/>
      <x:c r="AG934" s="67"/>
      <x:c r="AH934" s="43"/>
      <x:c r="AI934" s="43"/>
    </x:row>
    <x:row r="935">
      <x:c r="A935" s="43"/>
      <x:c r="B935" s="43"/>
      <x:c r="C935" s="43"/>
      <x:c r="D935" s="43" t="str">
        <x:f>IF(C935="","",YEAR(C935))</x:f>
      </x:c>
      <x:c r="E935" s="43" t="str">
        <x:f>IF(C935="","",MONTH(C935))</x:f>
      </x:c>
      <x:c r="F935" s="43" t="str">
        <x:f>IF(C935="","",WEEKNUM(C935,21))</x:f>
      </x:c>
      <x:c r="G935" s="43" t="str">
        <x:f>IF(C935="","",CHOOSE(WEEKDAY(C935,2),"Lundi","Mardi","Mercredi","Jeudi","Vendredi","Samedi","Dimanche"))</x:f>
      </x:c>
      <x:c r="H935" s="43"/>
      <x:c r="I935" s="43"/>
      <x:c r="J935" s="43"/>
      <x:c r="K935" s="43"/>
      <x:c r="L935" s="43"/>
      <x:c r="M935" s="43"/>
      <x:c r="N935" s="43"/>
      <x:c r="O935" s="43"/>
      <x:c r="P935" s="43"/>
      <x:c r="Q935" s="43"/>
      <x:c r="R935" s="43"/>
      <x:c r="S935" s="43"/>
      <x:c r="T935" s="43"/>
      <x:c r="U935" s="43"/>
      <x:c r="V935" s="43"/>
      <x:c r="W935" s="43"/>
      <x:c r="X935" s="43"/>
      <x:c r="Y935" s="43"/>
      <x:c r="Z935" s="43"/>
      <x:c r="AA935" s="43"/>
      <x:c r="AB935" s="43"/>
      <x:c r="AC935" s="43"/>
      <x:c r="AD935" s="43"/>
      <x:c r="AE935" s="43"/>
      <x:c r="AF935" s="43"/>
      <x:c r="AG935" s="67"/>
      <x:c r="AH935" s="43"/>
      <x:c r="AI935" s="43"/>
    </x:row>
    <x:row r="936">
      <x:c r="A936" s="43"/>
      <x:c r="B936" s="43"/>
      <x:c r="C936" s="43"/>
      <x:c r="D936" s="43" t="str">
        <x:f>IF(C936="","",YEAR(C936))</x:f>
      </x:c>
      <x:c r="E936" s="43" t="str">
        <x:f>IF(C936="","",MONTH(C936))</x:f>
      </x:c>
      <x:c r="F936" s="43" t="str">
        <x:f>IF(C936="","",WEEKNUM(C936,21))</x:f>
      </x:c>
      <x:c r="G936" s="43" t="str">
        <x:f>IF(C936="","",CHOOSE(WEEKDAY(C936,2),"Lundi","Mardi","Mercredi","Jeudi","Vendredi","Samedi","Dimanche"))</x:f>
      </x:c>
      <x:c r="H936" s="43"/>
      <x:c r="I936" s="43"/>
      <x:c r="J936" s="43"/>
      <x:c r="K936" s="43"/>
      <x:c r="L936" s="43"/>
      <x:c r="M936" s="43"/>
      <x:c r="N936" s="43"/>
      <x:c r="O936" s="43"/>
      <x:c r="P936" s="43"/>
      <x:c r="Q936" s="43"/>
      <x:c r="R936" s="43"/>
      <x:c r="S936" s="43"/>
      <x:c r="T936" s="43"/>
      <x:c r="U936" s="43"/>
      <x:c r="V936" s="43"/>
      <x:c r="W936" s="43"/>
      <x:c r="X936" s="43"/>
      <x:c r="Y936" s="43"/>
      <x:c r="Z936" s="43"/>
      <x:c r="AA936" s="43"/>
      <x:c r="AB936" s="43"/>
      <x:c r="AC936" s="43"/>
      <x:c r="AD936" s="43"/>
      <x:c r="AE936" s="43"/>
      <x:c r="AF936" s="43"/>
      <x:c r="AG936" s="67"/>
      <x:c r="AH936" s="43"/>
      <x:c r="AI936" s="43"/>
    </x:row>
    <x:row r="937">
      <x:c r="A937" s="43"/>
      <x:c r="B937" s="43"/>
      <x:c r="C937" s="43"/>
      <x:c r="D937" s="43" t="str">
        <x:f>IF(C937="","",YEAR(C937))</x:f>
      </x:c>
      <x:c r="E937" s="43" t="str">
        <x:f>IF(C937="","",MONTH(C937))</x:f>
      </x:c>
      <x:c r="F937" s="43" t="str">
        <x:f>IF(C937="","",WEEKNUM(C937,21))</x:f>
      </x:c>
      <x:c r="G937" s="43" t="str">
        <x:f>IF(C937="","",CHOOSE(WEEKDAY(C937,2),"Lundi","Mardi","Mercredi","Jeudi","Vendredi","Samedi","Dimanche"))</x:f>
      </x:c>
      <x:c r="H937" s="43"/>
      <x:c r="I937" s="43"/>
      <x:c r="J937" s="43"/>
      <x:c r="K937" s="43"/>
      <x:c r="L937" s="43"/>
      <x:c r="M937" s="43"/>
      <x:c r="N937" s="43"/>
      <x:c r="O937" s="43"/>
      <x:c r="P937" s="43"/>
      <x:c r="Q937" s="43"/>
      <x:c r="R937" s="43"/>
      <x:c r="S937" s="43"/>
      <x:c r="T937" s="43"/>
      <x:c r="U937" s="43"/>
      <x:c r="V937" s="43"/>
      <x:c r="W937" s="43"/>
      <x:c r="X937" s="43"/>
      <x:c r="Y937" s="43"/>
      <x:c r="Z937" s="43"/>
      <x:c r="AA937" s="43"/>
      <x:c r="AB937" s="43"/>
      <x:c r="AC937" s="43"/>
      <x:c r="AD937" s="43"/>
      <x:c r="AE937" s="43"/>
      <x:c r="AF937" s="43"/>
      <x:c r="AG937" s="67"/>
      <x:c r="AH937" s="43"/>
      <x:c r="AI937" s="43"/>
    </x:row>
    <x:row r="938">
      <x:c r="A938" s="43"/>
      <x:c r="B938" s="43"/>
      <x:c r="C938" s="43"/>
      <x:c r="D938" s="43" t="str">
        <x:f>IF(C938="","",YEAR(C938))</x:f>
      </x:c>
      <x:c r="E938" s="43" t="str">
        <x:f>IF(C938="","",MONTH(C938))</x:f>
      </x:c>
      <x:c r="F938" s="43" t="str">
        <x:f>IF(C938="","",WEEKNUM(C938,21))</x:f>
      </x:c>
      <x:c r="G938" s="43" t="str">
        <x:f>IF(C938="","",CHOOSE(WEEKDAY(C938,2),"Lundi","Mardi","Mercredi","Jeudi","Vendredi","Samedi","Dimanche"))</x:f>
      </x:c>
      <x:c r="H938" s="43"/>
      <x:c r="I938" s="43"/>
      <x:c r="J938" s="43"/>
      <x:c r="K938" s="43"/>
      <x:c r="L938" s="43"/>
      <x:c r="M938" s="43"/>
      <x:c r="N938" s="43"/>
      <x:c r="O938" s="43"/>
      <x:c r="P938" s="43"/>
      <x:c r="Q938" s="43"/>
      <x:c r="R938" s="43"/>
      <x:c r="S938" s="43"/>
      <x:c r="T938" s="43"/>
      <x:c r="U938" s="43"/>
      <x:c r="V938" s="43"/>
      <x:c r="W938" s="43"/>
      <x:c r="X938" s="43"/>
      <x:c r="Y938" s="43"/>
      <x:c r="Z938" s="43"/>
      <x:c r="AA938" s="43"/>
      <x:c r="AB938" s="43"/>
      <x:c r="AC938" s="43"/>
      <x:c r="AD938" s="43"/>
      <x:c r="AE938" s="43"/>
      <x:c r="AF938" s="43"/>
      <x:c r="AG938" s="67"/>
      <x:c r="AH938" s="43"/>
      <x:c r="AI938" s="43"/>
    </x:row>
    <x:row r="939">
      <x:c r="A939" s="43"/>
      <x:c r="B939" s="43"/>
      <x:c r="C939" s="43"/>
      <x:c r="D939" s="43" t="str">
        <x:f>IF(C939="","",YEAR(C939))</x:f>
      </x:c>
      <x:c r="E939" s="43" t="str">
        <x:f>IF(C939="","",MONTH(C939))</x:f>
      </x:c>
      <x:c r="F939" s="43" t="str">
        <x:f>IF(C939="","",WEEKNUM(C939,21))</x:f>
      </x:c>
      <x:c r="G939" s="43" t="str">
        <x:f>IF(C939="","",CHOOSE(WEEKDAY(C939,2),"Lundi","Mardi","Mercredi","Jeudi","Vendredi","Samedi","Dimanche"))</x:f>
      </x:c>
      <x:c r="H939" s="43"/>
      <x:c r="I939" s="43"/>
      <x:c r="J939" s="43"/>
      <x:c r="K939" s="43"/>
      <x:c r="L939" s="43"/>
      <x:c r="M939" s="43"/>
      <x:c r="N939" s="43"/>
      <x:c r="O939" s="43"/>
      <x:c r="P939" s="43"/>
      <x:c r="Q939" s="43"/>
      <x:c r="R939" s="43"/>
      <x:c r="S939" s="43"/>
      <x:c r="T939" s="43"/>
      <x:c r="U939" s="43"/>
      <x:c r="V939" s="43"/>
      <x:c r="W939" s="43"/>
      <x:c r="X939" s="43"/>
      <x:c r="Y939" s="43"/>
      <x:c r="Z939" s="43"/>
      <x:c r="AA939" s="43"/>
      <x:c r="AB939" s="43"/>
      <x:c r="AC939" s="43"/>
      <x:c r="AD939" s="43"/>
      <x:c r="AE939" s="43"/>
      <x:c r="AF939" s="43"/>
      <x:c r="AG939" s="67"/>
      <x:c r="AH939" s="43"/>
      <x:c r="AI939" s="43"/>
    </x:row>
    <x:row r="940">
      <x:c r="A940" s="43"/>
      <x:c r="B940" s="43"/>
      <x:c r="C940" s="43"/>
      <x:c r="D940" s="43" t="str">
        <x:f>IF(C940="","",YEAR(C940))</x:f>
      </x:c>
      <x:c r="E940" s="43" t="str">
        <x:f>IF(C940="","",MONTH(C940))</x:f>
      </x:c>
      <x:c r="F940" s="43" t="str">
        <x:f>IF(C940="","",WEEKNUM(C940,21))</x:f>
      </x:c>
      <x:c r="G940" s="43" t="str">
        <x:f>IF(C940="","",CHOOSE(WEEKDAY(C940,2),"Lundi","Mardi","Mercredi","Jeudi","Vendredi","Samedi","Dimanche"))</x:f>
      </x:c>
      <x:c r="H940" s="43"/>
      <x:c r="I940" s="43"/>
      <x:c r="J940" s="43"/>
      <x:c r="K940" s="43"/>
      <x:c r="L940" s="43"/>
      <x:c r="M940" s="43"/>
      <x:c r="N940" s="43"/>
      <x:c r="O940" s="43"/>
      <x:c r="P940" s="43"/>
      <x:c r="Q940" s="43"/>
      <x:c r="R940" s="43"/>
      <x:c r="S940" s="43"/>
      <x:c r="T940" s="43"/>
      <x:c r="U940" s="43"/>
      <x:c r="V940" s="43"/>
      <x:c r="W940" s="43"/>
      <x:c r="X940" s="43"/>
      <x:c r="Y940" s="43"/>
      <x:c r="Z940" s="43"/>
      <x:c r="AA940" s="43"/>
      <x:c r="AB940" s="43"/>
      <x:c r="AC940" s="43"/>
      <x:c r="AD940" s="43"/>
      <x:c r="AE940" s="43"/>
      <x:c r="AF940" s="43"/>
      <x:c r="AG940" s="67"/>
      <x:c r="AH940" s="43"/>
      <x:c r="AI940" s="43"/>
    </x:row>
    <x:row r="941">
      <x:c r="A941" s="43"/>
      <x:c r="B941" s="43"/>
      <x:c r="C941" s="43"/>
      <x:c r="D941" s="43" t="str">
        <x:f>IF(C941="","",YEAR(C941))</x:f>
      </x:c>
      <x:c r="E941" s="43" t="str">
        <x:f>IF(C941="","",MONTH(C941))</x:f>
      </x:c>
      <x:c r="F941" s="43" t="str">
        <x:f>IF(C941="","",WEEKNUM(C941,21))</x:f>
      </x:c>
      <x:c r="G941" s="43" t="str">
        <x:f>IF(C941="","",CHOOSE(WEEKDAY(C941,2),"Lundi","Mardi","Mercredi","Jeudi","Vendredi","Samedi","Dimanche"))</x:f>
      </x:c>
      <x:c r="H941" s="43"/>
      <x:c r="I941" s="43"/>
      <x:c r="J941" s="43"/>
      <x:c r="K941" s="43"/>
      <x:c r="L941" s="43"/>
      <x:c r="M941" s="43"/>
      <x:c r="N941" s="43"/>
      <x:c r="O941" s="43"/>
      <x:c r="P941" s="43"/>
      <x:c r="Q941" s="43"/>
      <x:c r="R941" s="43"/>
      <x:c r="S941" s="43"/>
      <x:c r="T941" s="43"/>
      <x:c r="U941" s="43"/>
      <x:c r="V941" s="43"/>
      <x:c r="W941" s="43"/>
      <x:c r="X941" s="43"/>
      <x:c r="Y941" s="43"/>
      <x:c r="Z941" s="43"/>
      <x:c r="AA941" s="43"/>
      <x:c r="AB941" s="43"/>
      <x:c r="AC941" s="43"/>
      <x:c r="AD941" s="43"/>
      <x:c r="AE941" s="43"/>
      <x:c r="AF941" s="43"/>
      <x:c r="AG941" s="67"/>
      <x:c r="AH941" s="43"/>
      <x:c r="AI941" s="43"/>
    </x:row>
    <x:row r="942">
      <x:c r="A942" s="43"/>
      <x:c r="B942" s="43"/>
      <x:c r="C942" s="43"/>
      <x:c r="D942" s="43" t="str">
        <x:f>IF(C942="","",YEAR(C942))</x:f>
      </x:c>
      <x:c r="E942" s="43" t="str">
        <x:f>IF(C942="","",MONTH(C942))</x:f>
      </x:c>
      <x:c r="F942" s="43" t="str">
        <x:f>IF(C942="","",WEEKNUM(C942,21))</x:f>
      </x:c>
      <x:c r="G942" s="43" t="str">
        <x:f>IF(C942="","",CHOOSE(WEEKDAY(C942,2),"Lundi","Mardi","Mercredi","Jeudi","Vendredi","Samedi","Dimanche"))</x:f>
      </x:c>
      <x:c r="H942" s="43"/>
      <x:c r="I942" s="43"/>
      <x:c r="J942" s="43"/>
      <x:c r="K942" s="43"/>
      <x:c r="L942" s="43"/>
      <x:c r="M942" s="43"/>
      <x:c r="N942" s="43"/>
      <x:c r="O942" s="43"/>
      <x:c r="P942" s="43"/>
      <x:c r="Q942" s="43"/>
      <x:c r="R942" s="43"/>
      <x:c r="S942" s="43"/>
      <x:c r="T942" s="43"/>
      <x:c r="U942" s="43"/>
      <x:c r="V942" s="43"/>
      <x:c r="W942" s="43"/>
      <x:c r="X942" s="43"/>
      <x:c r="Y942" s="43"/>
      <x:c r="Z942" s="43"/>
      <x:c r="AA942" s="43"/>
      <x:c r="AB942" s="43"/>
      <x:c r="AC942" s="43"/>
      <x:c r="AD942" s="43"/>
      <x:c r="AE942" s="43"/>
      <x:c r="AF942" s="43"/>
      <x:c r="AG942" s="67"/>
      <x:c r="AH942" s="43"/>
      <x:c r="AI942" s="43"/>
    </x:row>
    <x:row r="943">
      <x:c r="A943" s="43"/>
      <x:c r="B943" s="43"/>
      <x:c r="C943" s="43"/>
      <x:c r="D943" s="43" t="str">
        <x:f>IF(C943="","",YEAR(C943))</x:f>
      </x:c>
      <x:c r="E943" s="43" t="str">
        <x:f>IF(C943="","",MONTH(C943))</x:f>
      </x:c>
      <x:c r="F943" s="43" t="str">
        <x:f>IF(C943="","",WEEKNUM(C943,21))</x:f>
      </x:c>
      <x:c r="G943" s="43" t="str">
        <x:f>IF(C943="","",CHOOSE(WEEKDAY(C943,2),"Lundi","Mardi","Mercredi","Jeudi","Vendredi","Samedi","Dimanche"))</x:f>
      </x:c>
      <x:c r="H943" s="43"/>
      <x:c r="I943" s="43"/>
      <x:c r="J943" s="43"/>
      <x:c r="K943" s="43"/>
      <x:c r="L943" s="43"/>
      <x:c r="M943" s="43"/>
      <x:c r="N943" s="43"/>
      <x:c r="O943" s="43"/>
      <x:c r="P943" s="43"/>
      <x:c r="Q943" s="43"/>
      <x:c r="R943" s="43"/>
      <x:c r="S943" s="43"/>
      <x:c r="T943" s="43"/>
      <x:c r="U943" s="43"/>
      <x:c r="V943" s="43"/>
      <x:c r="W943" s="43"/>
      <x:c r="X943" s="43"/>
      <x:c r="Y943" s="43"/>
      <x:c r="Z943" s="43"/>
      <x:c r="AA943" s="43"/>
      <x:c r="AB943" s="43"/>
      <x:c r="AC943" s="43"/>
      <x:c r="AD943" s="43"/>
      <x:c r="AE943" s="43"/>
      <x:c r="AF943" s="43"/>
      <x:c r="AG943" s="67"/>
      <x:c r="AH943" s="43"/>
      <x:c r="AI943" s="43"/>
    </x:row>
    <x:row r="944">
      <x:c r="A944" s="43"/>
      <x:c r="B944" s="43"/>
      <x:c r="C944" s="43"/>
      <x:c r="D944" s="43" t="str">
        <x:f>IF(C944="","",YEAR(C944))</x:f>
      </x:c>
      <x:c r="E944" s="43" t="str">
        <x:f>IF(C944="","",MONTH(C944))</x:f>
      </x:c>
      <x:c r="F944" s="43" t="str">
        <x:f>IF(C944="","",WEEKNUM(C944,21))</x:f>
      </x:c>
      <x:c r="G944" s="43" t="str">
        <x:f>IF(C944="","",CHOOSE(WEEKDAY(C944,2),"Lundi","Mardi","Mercredi","Jeudi","Vendredi","Samedi","Dimanche"))</x:f>
      </x:c>
      <x:c r="H944" s="43"/>
      <x:c r="I944" s="43"/>
      <x:c r="J944" s="43"/>
      <x:c r="K944" s="43"/>
      <x:c r="L944" s="43"/>
      <x:c r="M944" s="43"/>
      <x:c r="N944" s="43"/>
      <x:c r="O944" s="43"/>
      <x:c r="P944" s="43"/>
      <x:c r="Q944" s="43"/>
      <x:c r="R944" s="43"/>
      <x:c r="S944" s="43"/>
      <x:c r="T944" s="43"/>
      <x:c r="U944" s="43"/>
      <x:c r="V944" s="43"/>
      <x:c r="W944" s="43"/>
      <x:c r="X944" s="43"/>
      <x:c r="Y944" s="43"/>
      <x:c r="Z944" s="43"/>
      <x:c r="AA944" s="43"/>
      <x:c r="AB944" s="43"/>
      <x:c r="AC944" s="43"/>
      <x:c r="AD944" s="43"/>
      <x:c r="AE944" s="43"/>
      <x:c r="AF944" s="43"/>
      <x:c r="AG944" s="67"/>
      <x:c r="AH944" s="43"/>
      <x:c r="AI944" s="43"/>
    </x:row>
    <x:row r="945">
      <x:c r="A945" s="43"/>
      <x:c r="B945" s="43"/>
      <x:c r="C945" s="43"/>
      <x:c r="D945" s="43" t="str">
        <x:f>IF(C945="","",YEAR(C945))</x:f>
      </x:c>
      <x:c r="E945" s="43" t="str">
        <x:f>IF(C945="","",MONTH(C945))</x:f>
      </x:c>
      <x:c r="F945" s="43" t="str">
        <x:f>IF(C945="","",WEEKNUM(C945,21))</x:f>
      </x:c>
      <x:c r="G945" s="43" t="str">
        <x:f>IF(C945="","",CHOOSE(WEEKDAY(C945,2),"Lundi","Mardi","Mercredi","Jeudi","Vendredi","Samedi","Dimanche"))</x:f>
      </x:c>
      <x:c r="H945" s="43"/>
      <x:c r="I945" s="43"/>
      <x:c r="J945" s="43"/>
      <x:c r="K945" s="43"/>
      <x:c r="L945" s="43"/>
      <x:c r="M945" s="43"/>
      <x:c r="N945" s="43"/>
      <x:c r="O945" s="43"/>
      <x:c r="P945" s="43"/>
      <x:c r="Q945" s="43"/>
      <x:c r="R945" s="43"/>
      <x:c r="S945" s="43"/>
      <x:c r="T945" s="43"/>
      <x:c r="U945" s="43"/>
      <x:c r="V945" s="43"/>
      <x:c r="W945" s="43"/>
      <x:c r="X945" s="43"/>
      <x:c r="Y945" s="43"/>
      <x:c r="Z945" s="43"/>
      <x:c r="AA945" s="43"/>
      <x:c r="AB945" s="43"/>
      <x:c r="AC945" s="43"/>
      <x:c r="AD945" s="43"/>
      <x:c r="AE945" s="43"/>
      <x:c r="AF945" s="43"/>
      <x:c r="AG945" s="67"/>
      <x:c r="AH945" s="43"/>
      <x:c r="AI945" s="43"/>
    </x:row>
    <x:row r="946">
      <x:c r="A946" s="43"/>
      <x:c r="B946" s="43"/>
      <x:c r="C946" s="43"/>
      <x:c r="D946" s="43" t="str">
        <x:f>IF(C946="","",YEAR(C946))</x:f>
      </x:c>
      <x:c r="E946" s="43" t="str">
        <x:f>IF(C946="","",MONTH(C946))</x:f>
      </x:c>
      <x:c r="F946" s="43" t="str">
        <x:f>IF(C946="","",WEEKNUM(C946,21))</x:f>
      </x:c>
      <x:c r="G946" s="43" t="str">
        <x:f>IF(C946="","",CHOOSE(WEEKDAY(C946,2),"Lundi","Mardi","Mercredi","Jeudi","Vendredi","Samedi","Dimanche"))</x:f>
      </x:c>
      <x:c r="H946" s="43"/>
      <x:c r="I946" s="43"/>
      <x:c r="J946" s="43"/>
      <x:c r="K946" s="43"/>
      <x:c r="L946" s="43"/>
      <x:c r="M946" s="43"/>
      <x:c r="N946" s="43"/>
      <x:c r="O946" s="43"/>
      <x:c r="P946" s="43"/>
      <x:c r="Q946" s="43"/>
      <x:c r="R946" s="43"/>
      <x:c r="S946" s="43"/>
      <x:c r="T946" s="43"/>
      <x:c r="U946" s="43"/>
      <x:c r="V946" s="43"/>
      <x:c r="W946" s="43"/>
      <x:c r="X946" s="43"/>
      <x:c r="Y946" s="43"/>
      <x:c r="Z946" s="43"/>
      <x:c r="AA946" s="43"/>
      <x:c r="AB946" s="43"/>
      <x:c r="AC946" s="43"/>
      <x:c r="AD946" s="43"/>
      <x:c r="AE946" s="43"/>
      <x:c r="AF946" s="43"/>
      <x:c r="AG946" s="67"/>
      <x:c r="AH946" s="43"/>
      <x:c r="AI946" s="43"/>
    </x:row>
    <x:row r="947">
      <x:c r="A947" s="43"/>
      <x:c r="B947" s="43"/>
      <x:c r="C947" s="43"/>
      <x:c r="D947" s="43" t="str">
        <x:f>IF(C947="","",YEAR(C947))</x:f>
      </x:c>
      <x:c r="E947" s="43" t="str">
        <x:f>IF(C947="","",MONTH(C947))</x:f>
      </x:c>
      <x:c r="F947" s="43" t="str">
        <x:f>IF(C947="","",WEEKNUM(C947,21))</x:f>
      </x:c>
      <x:c r="G947" s="43" t="str">
        <x:f>IF(C947="","",CHOOSE(WEEKDAY(C947,2),"Lundi","Mardi","Mercredi","Jeudi","Vendredi","Samedi","Dimanche"))</x:f>
      </x:c>
      <x:c r="H947" s="43"/>
      <x:c r="I947" s="43"/>
      <x:c r="J947" s="43"/>
      <x:c r="K947" s="43"/>
      <x:c r="L947" s="43"/>
      <x:c r="M947" s="43"/>
      <x:c r="N947" s="43"/>
      <x:c r="O947" s="43"/>
      <x:c r="P947" s="43"/>
      <x:c r="Q947" s="43"/>
      <x:c r="R947" s="43"/>
      <x:c r="S947" s="43"/>
      <x:c r="T947" s="43"/>
      <x:c r="U947" s="43"/>
      <x:c r="V947" s="43"/>
      <x:c r="W947" s="43"/>
      <x:c r="X947" s="43"/>
      <x:c r="Y947" s="43"/>
      <x:c r="Z947" s="43"/>
      <x:c r="AA947" s="43"/>
      <x:c r="AB947" s="43"/>
      <x:c r="AC947" s="43"/>
      <x:c r="AD947" s="43"/>
      <x:c r="AE947" s="43"/>
      <x:c r="AF947" s="43"/>
      <x:c r="AG947" s="67"/>
      <x:c r="AH947" s="43"/>
      <x:c r="AI947" s="43"/>
    </x:row>
    <x:row r="948">
      <x:c r="A948" s="43"/>
      <x:c r="B948" s="43"/>
      <x:c r="C948" s="43"/>
      <x:c r="D948" s="43" t="str">
        <x:f>IF(C948="","",YEAR(C948))</x:f>
      </x:c>
      <x:c r="E948" s="43" t="str">
        <x:f>IF(C948="","",MONTH(C948))</x:f>
      </x:c>
      <x:c r="F948" s="43" t="str">
        <x:f>IF(C948="","",WEEKNUM(C948,21))</x:f>
      </x:c>
      <x:c r="G948" s="43" t="str">
        <x:f>IF(C948="","",CHOOSE(WEEKDAY(C948,2),"Lundi","Mardi","Mercredi","Jeudi","Vendredi","Samedi","Dimanche"))</x:f>
      </x:c>
      <x:c r="H948" s="43"/>
      <x:c r="I948" s="43"/>
      <x:c r="J948" s="43"/>
      <x:c r="K948" s="43"/>
      <x:c r="L948" s="43"/>
      <x:c r="M948" s="43"/>
      <x:c r="N948" s="43"/>
      <x:c r="O948" s="43"/>
      <x:c r="P948" s="43"/>
      <x:c r="Q948" s="43"/>
      <x:c r="R948" s="43"/>
      <x:c r="S948" s="43"/>
      <x:c r="T948" s="43"/>
      <x:c r="U948" s="43"/>
      <x:c r="V948" s="43"/>
      <x:c r="W948" s="43"/>
      <x:c r="X948" s="43"/>
      <x:c r="Y948" s="43"/>
      <x:c r="Z948" s="43"/>
      <x:c r="AA948" s="43"/>
      <x:c r="AB948" s="43"/>
      <x:c r="AC948" s="43"/>
      <x:c r="AD948" s="43"/>
      <x:c r="AE948" s="43"/>
      <x:c r="AF948" s="43"/>
      <x:c r="AG948" s="67"/>
      <x:c r="AH948" s="43"/>
      <x:c r="AI948" s="43"/>
    </x:row>
    <x:row r="949">
      <x:c r="A949" s="43"/>
      <x:c r="B949" s="43"/>
      <x:c r="C949" s="43"/>
      <x:c r="D949" s="43" t="str">
        <x:f>IF(C949="","",YEAR(C949))</x:f>
      </x:c>
      <x:c r="E949" s="43" t="str">
        <x:f>IF(C949="","",MONTH(C949))</x:f>
      </x:c>
      <x:c r="F949" s="43" t="str">
        <x:f>IF(C949="","",WEEKNUM(C949,21))</x:f>
      </x:c>
      <x:c r="G949" s="43" t="str">
        <x:f>IF(C949="","",CHOOSE(WEEKDAY(C949,2),"Lundi","Mardi","Mercredi","Jeudi","Vendredi","Samedi","Dimanche"))</x:f>
      </x:c>
      <x:c r="H949" s="43"/>
      <x:c r="I949" s="43"/>
      <x:c r="J949" s="43"/>
      <x:c r="K949" s="43"/>
      <x:c r="L949" s="43"/>
      <x:c r="M949" s="43"/>
      <x:c r="N949" s="43"/>
      <x:c r="O949" s="43"/>
      <x:c r="P949" s="43"/>
      <x:c r="Q949" s="43"/>
      <x:c r="R949" s="43"/>
      <x:c r="S949" s="43"/>
      <x:c r="T949" s="43"/>
      <x:c r="U949" s="43"/>
      <x:c r="V949" s="43"/>
      <x:c r="W949" s="43"/>
      <x:c r="X949" s="43"/>
      <x:c r="Y949" s="43"/>
      <x:c r="Z949" s="43"/>
      <x:c r="AA949" s="43"/>
      <x:c r="AB949" s="43"/>
      <x:c r="AC949" s="43"/>
      <x:c r="AD949" s="43"/>
      <x:c r="AE949" s="43"/>
      <x:c r="AF949" s="43"/>
      <x:c r="AG949" s="67"/>
      <x:c r="AH949" s="43"/>
      <x:c r="AI949" s="43"/>
    </x:row>
    <x:row r="950">
      <x:c r="A950" s="43"/>
      <x:c r="B950" s="43"/>
      <x:c r="C950" s="43"/>
      <x:c r="D950" s="43" t="str">
        <x:f>IF(C950="","",YEAR(C950))</x:f>
      </x:c>
      <x:c r="E950" s="43" t="str">
        <x:f>IF(C950="","",MONTH(C950))</x:f>
      </x:c>
      <x:c r="F950" s="43" t="str">
        <x:f>IF(C950="","",WEEKNUM(C950,21))</x:f>
      </x:c>
      <x:c r="G950" s="43" t="str">
        <x:f>IF(C950="","",CHOOSE(WEEKDAY(C950,2),"Lundi","Mardi","Mercredi","Jeudi","Vendredi","Samedi","Dimanche"))</x:f>
      </x:c>
      <x:c r="H950" s="43"/>
      <x:c r="I950" s="43"/>
      <x:c r="J950" s="43"/>
      <x:c r="K950" s="43"/>
      <x:c r="L950" s="43"/>
      <x:c r="M950" s="43"/>
      <x:c r="N950" s="43"/>
      <x:c r="O950" s="43"/>
      <x:c r="P950" s="43"/>
      <x:c r="Q950" s="43"/>
      <x:c r="R950" s="43"/>
      <x:c r="S950" s="43"/>
      <x:c r="T950" s="43"/>
      <x:c r="U950" s="43"/>
      <x:c r="V950" s="43"/>
      <x:c r="W950" s="43"/>
      <x:c r="X950" s="43"/>
      <x:c r="Y950" s="43"/>
      <x:c r="Z950" s="43"/>
      <x:c r="AA950" s="43"/>
      <x:c r="AB950" s="43"/>
      <x:c r="AC950" s="43"/>
      <x:c r="AD950" s="43"/>
      <x:c r="AE950" s="43"/>
      <x:c r="AF950" s="43"/>
      <x:c r="AG950" s="67"/>
      <x:c r="AH950" s="43"/>
      <x:c r="AI950" s="43"/>
    </x:row>
    <x:row r="951">
      <x:c r="A951" s="43"/>
      <x:c r="B951" s="43"/>
      <x:c r="C951" s="43"/>
      <x:c r="D951" s="43" t="str">
        <x:f>IF(C951="","",YEAR(C951))</x:f>
      </x:c>
      <x:c r="E951" s="43" t="str">
        <x:f>IF(C951="","",MONTH(C951))</x:f>
      </x:c>
      <x:c r="F951" s="43" t="str">
        <x:f>IF(C951="","",WEEKNUM(C951,21))</x:f>
      </x:c>
      <x:c r="G951" s="43" t="str">
        <x:f>IF(C951="","",CHOOSE(WEEKDAY(C951,2),"Lundi","Mardi","Mercredi","Jeudi","Vendredi","Samedi","Dimanche"))</x:f>
      </x:c>
      <x:c r="H951" s="43"/>
      <x:c r="I951" s="43"/>
      <x:c r="J951" s="43"/>
      <x:c r="K951" s="43"/>
      <x:c r="L951" s="43"/>
      <x:c r="M951" s="43"/>
      <x:c r="N951" s="43"/>
      <x:c r="O951" s="43"/>
      <x:c r="P951" s="43"/>
      <x:c r="Q951" s="43"/>
      <x:c r="R951" s="43"/>
      <x:c r="S951" s="43"/>
      <x:c r="T951" s="43"/>
      <x:c r="U951" s="43"/>
      <x:c r="V951" s="43"/>
      <x:c r="W951" s="43"/>
      <x:c r="X951" s="43"/>
      <x:c r="Y951" s="43"/>
      <x:c r="Z951" s="43"/>
      <x:c r="AA951" s="43"/>
      <x:c r="AB951" s="43"/>
      <x:c r="AC951" s="43"/>
      <x:c r="AD951" s="43"/>
      <x:c r="AE951" s="43"/>
      <x:c r="AF951" s="43"/>
      <x:c r="AG951" s="67"/>
      <x:c r="AH951" s="43"/>
      <x:c r="AI951" s="43"/>
    </x:row>
    <x:row r="952">
      <x:c r="A952" s="43"/>
      <x:c r="B952" s="43"/>
      <x:c r="C952" s="43"/>
      <x:c r="D952" s="43" t="str">
        <x:f>IF(C952="","",YEAR(C952))</x:f>
      </x:c>
      <x:c r="E952" s="43" t="str">
        <x:f>IF(C952="","",MONTH(C952))</x:f>
      </x:c>
      <x:c r="F952" s="43" t="str">
        <x:f>IF(C952="","",WEEKNUM(C952,21))</x:f>
      </x:c>
      <x:c r="G952" s="43" t="str">
        <x:f>IF(C952="","",CHOOSE(WEEKDAY(C952,2),"Lundi","Mardi","Mercredi","Jeudi","Vendredi","Samedi","Dimanche"))</x:f>
      </x:c>
      <x:c r="H952" s="43"/>
      <x:c r="I952" s="43"/>
      <x:c r="J952" s="43"/>
      <x:c r="K952" s="43"/>
      <x:c r="L952" s="43"/>
      <x:c r="M952" s="43"/>
      <x:c r="N952" s="43"/>
      <x:c r="O952" s="43"/>
      <x:c r="P952" s="43"/>
      <x:c r="Q952" s="43"/>
      <x:c r="R952" s="43"/>
      <x:c r="S952" s="43"/>
      <x:c r="T952" s="43"/>
      <x:c r="U952" s="43"/>
      <x:c r="V952" s="43"/>
      <x:c r="W952" s="43"/>
      <x:c r="X952" s="43"/>
      <x:c r="Y952" s="43"/>
      <x:c r="Z952" s="43"/>
      <x:c r="AA952" s="43"/>
      <x:c r="AB952" s="43"/>
      <x:c r="AC952" s="43"/>
      <x:c r="AD952" s="43"/>
      <x:c r="AE952" s="43"/>
      <x:c r="AF952" s="43"/>
      <x:c r="AG952" s="67"/>
      <x:c r="AH952" s="43"/>
      <x:c r="AI952" s="43"/>
    </x:row>
    <x:row r="953">
      <x:c r="A953" s="43"/>
      <x:c r="B953" s="43"/>
      <x:c r="C953" s="43"/>
      <x:c r="D953" s="43" t="str">
        <x:f>IF(C953="","",YEAR(C953))</x:f>
      </x:c>
      <x:c r="E953" s="43" t="str">
        <x:f>IF(C953="","",MONTH(C953))</x:f>
      </x:c>
      <x:c r="F953" s="43" t="str">
        <x:f>IF(C953="","",WEEKNUM(C953,21))</x:f>
      </x:c>
      <x:c r="G953" s="43" t="str">
        <x:f>IF(C953="","",CHOOSE(WEEKDAY(C953,2),"Lundi","Mardi","Mercredi","Jeudi","Vendredi","Samedi","Dimanche"))</x:f>
      </x:c>
      <x:c r="H953" s="43"/>
      <x:c r="I953" s="43"/>
      <x:c r="J953" s="43"/>
      <x:c r="K953" s="43"/>
      <x:c r="L953" s="43"/>
      <x:c r="M953" s="43"/>
      <x:c r="N953" s="43"/>
      <x:c r="O953" s="43"/>
      <x:c r="P953" s="43"/>
      <x:c r="Q953" s="43"/>
      <x:c r="R953" s="43"/>
      <x:c r="S953" s="43"/>
      <x:c r="T953" s="43"/>
      <x:c r="U953" s="43"/>
      <x:c r="V953" s="43"/>
      <x:c r="W953" s="43"/>
      <x:c r="X953" s="43"/>
      <x:c r="Y953" s="43"/>
      <x:c r="Z953" s="43"/>
      <x:c r="AA953" s="43"/>
      <x:c r="AB953" s="43"/>
      <x:c r="AC953" s="43"/>
      <x:c r="AD953" s="43"/>
      <x:c r="AE953" s="43"/>
      <x:c r="AF953" s="43"/>
      <x:c r="AG953" s="67"/>
      <x:c r="AH953" s="43"/>
      <x:c r="AI953" s="43"/>
    </x:row>
    <x:row r="954">
      <x:c r="A954" s="43"/>
      <x:c r="B954" s="43"/>
      <x:c r="C954" s="43"/>
      <x:c r="D954" s="43" t="str">
        <x:f>IF(C954="","",YEAR(C954))</x:f>
      </x:c>
      <x:c r="E954" s="43" t="str">
        <x:f>IF(C954="","",MONTH(C954))</x:f>
      </x:c>
      <x:c r="F954" s="43" t="str">
        <x:f>IF(C954="","",WEEKNUM(C954,21))</x:f>
      </x:c>
      <x:c r="G954" s="43" t="str">
        <x:f>IF(C954="","",CHOOSE(WEEKDAY(C954,2),"Lundi","Mardi","Mercredi","Jeudi","Vendredi","Samedi","Dimanche"))</x:f>
      </x:c>
      <x:c r="H954" s="43"/>
      <x:c r="I954" s="43"/>
      <x:c r="J954" s="43"/>
      <x:c r="K954" s="43"/>
      <x:c r="L954" s="43"/>
      <x:c r="M954" s="43"/>
      <x:c r="N954" s="43"/>
      <x:c r="O954" s="43"/>
      <x:c r="P954" s="43"/>
      <x:c r="Q954" s="43"/>
      <x:c r="R954" s="43"/>
      <x:c r="S954" s="43"/>
      <x:c r="T954" s="43"/>
      <x:c r="U954" s="43"/>
      <x:c r="V954" s="43"/>
      <x:c r="W954" s="43"/>
      <x:c r="X954" s="43"/>
      <x:c r="Y954" s="43"/>
      <x:c r="Z954" s="43"/>
      <x:c r="AA954" s="43"/>
      <x:c r="AB954" s="43"/>
      <x:c r="AC954" s="43"/>
      <x:c r="AD954" s="43"/>
      <x:c r="AE954" s="43"/>
      <x:c r="AF954" s="43"/>
      <x:c r="AG954" s="67"/>
      <x:c r="AH954" s="43"/>
      <x:c r="AI954" s="43"/>
    </x:row>
    <x:row r="955">
      <x:c r="A955" s="43"/>
      <x:c r="B955" s="43"/>
      <x:c r="C955" s="43"/>
      <x:c r="D955" s="43" t="str">
        <x:f>IF(C955="","",YEAR(C955))</x:f>
      </x:c>
      <x:c r="E955" s="43" t="str">
        <x:f>IF(C955="","",MONTH(C955))</x:f>
      </x:c>
      <x:c r="F955" s="43" t="str">
        <x:f>IF(C955="","",WEEKNUM(C955,21))</x:f>
      </x:c>
      <x:c r="G955" s="43" t="str">
        <x:f>IF(C955="","",CHOOSE(WEEKDAY(C955,2),"Lundi","Mardi","Mercredi","Jeudi","Vendredi","Samedi","Dimanche"))</x:f>
      </x:c>
      <x:c r="H955" s="43"/>
      <x:c r="I955" s="43"/>
      <x:c r="J955" s="43"/>
      <x:c r="K955" s="43"/>
      <x:c r="L955" s="43"/>
      <x:c r="M955" s="43"/>
      <x:c r="N955" s="43"/>
      <x:c r="O955" s="43"/>
      <x:c r="P955" s="43"/>
      <x:c r="Q955" s="43"/>
      <x:c r="R955" s="43"/>
      <x:c r="S955" s="43"/>
      <x:c r="T955" s="43"/>
      <x:c r="U955" s="43"/>
      <x:c r="V955" s="43"/>
      <x:c r="W955" s="43"/>
      <x:c r="X955" s="43"/>
      <x:c r="Y955" s="43"/>
      <x:c r="Z955" s="43"/>
      <x:c r="AA955" s="43"/>
      <x:c r="AB955" s="43"/>
      <x:c r="AC955" s="43"/>
      <x:c r="AD955" s="43"/>
      <x:c r="AE955" s="43"/>
      <x:c r="AF955" s="43"/>
      <x:c r="AG955" s="67"/>
      <x:c r="AH955" s="43"/>
      <x:c r="AI955" s="43"/>
    </x:row>
    <x:row r="956">
      <x:c r="A956" s="43"/>
      <x:c r="B956" s="43"/>
      <x:c r="C956" s="43"/>
      <x:c r="D956" s="43" t="str">
        <x:f>IF(C956="","",YEAR(C956))</x:f>
      </x:c>
      <x:c r="E956" s="43" t="str">
        <x:f>IF(C956="","",MONTH(C956))</x:f>
      </x:c>
      <x:c r="F956" s="43" t="str">
        <x:f>IF(C956="","",WEEKNUM(C956,21))</x:f>
      </x:c>
      <x:c r="G956" s="43" t="str">
        <x:f>IF(C956="","",CHOOSE(WEEKDAY(C956,2),"Lundi","Mardi","Mercredi","Jeudi","Vendredi","Samedi","Dimanche"))</x:f>
      </x:c>
      <x:c r="H956" s="43"/>
      <x:c r="I956" s="43"/>
      <x:c r="J956" s="43"/>
      <x:c r="K956" s="43"/>
      <x:c r="L956" s="43"/>
      <x:c r="M956" s="43"/>
      <x:c r="N956" s="43"/>
      <x:c r="O956" s="43"/>
      <x:c r="P956" s="43"/>
      <x:c r="Q956" s="43"/>
      <x:c r="R956" s="43"/>
      <x:c r="S956" s="43"/>
      <x:c r="T956" s="43"/>
      <x:c r="U956" s="43"/>
      <x:c r="V956" s="43"/>
      <x:c r="W956" s="43"/>
      <x:c r="X956" s="43"/>
      <x:c r="Y956" s="43"/>
      <x:c r="Z956" s="43"/>
      <x:c r="AA956" s="43"/>
      <x:c r="AB956" s="43"/>
      <x:c r="AC956" s="43"/>
      <x:c r="AD956" s="43"/>
      <x:c r="AE956" s="43"/>
      <x:c r="AF956" s="43"/>
      <x:c r="AG956" s="67"/>
      <x:c r="AH956" s="43"/>
      <x:c r="AI956" s="43"/>
    </x:row>
    <x:row r="957">
      <x:c r="A957" s="43"/>
      <x:c r="B957" s="43"/>
      <x:c r="C957" s="43"/>
      <x:c r="D957" s="43" t="str">
        <x:f>IF(C957="","",YEAR(C957))</x:f>
      </x:c>
      <x:c r="E957" s="43" t="str">
        <x:f>IF(C957="","",MONTH(C957))</x:f>
      </x:c>
      <x:c r="F957" s="43" t="str">
        <x:f>IF(C957="","",WEEKNUM(C957,21))</x:f>
      </x:c>
      <x:c r="G957" s="43" t="str">
        <x:f>IF(C957="","",CHOOSE(WEEKDAY(C957,2),"Lundi","Mardi","Mercredi","Jeudi","Vendredi","Samedi","Dimanche"))</x:f>
      </x:c>
      <x:c r="H957" s="43"/>
      <x:c r="I957" s="43"/>
      <x:c r="J957" s="43"/>
      <x:c r="K957" s="43"/>
      <x:c r="L957" s="43"/>
      <x:c r="M957" s="43"/>
      <x:c r="N957" s="43"/>
      <x:c r="O957" s="43"/>
      <x:c r="P957" s="43"/>
      <x:c r="Q957" s="43"/>
      <x:c r="R957" s="43"/>
      <x:c r="S957" s="43"/>
      <x:c r="T957" s="43"/>
      <x:c r="U957" s="43"/>
      <x:c r="V957" s="43"/>
      <x:c r="W957" s="43"/>
      <x:c r="X957" s="43"/>
      <x:c r="Y957" s="43"/>
      <x:c r="Z957" s="43"/>
      <x:c r="AA957" s="43"/>
      <x:c r="AB957" s="43"/>
      <x:c r="AC957" s="43"/>
      <x:c r="AD957" s="43"/>
      <x:c r="AE957" s="43"/>
      <x:c r="AF957" s="43"/>
      <x:c r="AG957" s="67"/>
      <x:c r="AH957" s="43"/>
      <x:c r="AI957" s="43"/>
    </x:row>
    <x:row r="958">
      <x:c r="A958" s="43"/>
      <x:c r="B958" s="43"/>
      <x:c r="C958" s="43"/>
      <x:c r="D958" s="43" t="str">
        <x:f>IF(C958="","",YEAR(C958))</x:f>
      </x:c>
      <x:c r="E958" s="43" t="str">
        <x:f>IF(C958="","",MONTH(C958))</x:f>
      </x:c>
      <x:c r="F958" s="43" t="str">
        <x:f>IF(C958="","",WEEKNUM(C958,21))</x:f>
      </x:c>
      <x:c r="G958" s="43" t="str">
        <x:f>IF(C958="","",CHOOSE(WEEKDAY(C958,2),"Lundi","Mardi","Mercredi","Jeudi","Vendredi","Samedi","Dimanche"))</x:f>
      </x:c>
      <x:c r="H958" s="43"/>
      <x:c r="I958" s="43"/>
      <x:c r="J958" s="43"/>
      <x:c r="K958" s="43"/>
      <x:c r="L958" s="43"/>
      <x:c r="M958" s="43"/>
      <x:c r="N958" s="43"/>
      <x:c r="O958" s="43"/>
      <x:c r="P958" s="43"/>
      <x:c r="Q958" s="43"/>
      <x:c r="R958" s="43"/>
      <x:c r="S958" s="43"/>
      <x:c r="T958" s="43"/>
      <x:c r="U958" s="43"/>
      <x:c r="V958" s="43"/>
      <x:c r="W958" s="43"/>
      <x:c r="X958" s="43"/>
      <x:c r="Y958" s="43"/>
      <x:c r="Z958" s="43"/>
      <x:c r="AA958" s="43"/>
      <x:c r="AB958" s="43"/>
      <x:c r="AC958" s="43"/>
      <x:c r="AD958" s="43"/>
      <x:c r="AE958" s="43"/>
      <x:c r="AF958" s="43"/>
      <x:c r="AG958" s="67"/>
      <x:c r="AH958" s="43"/>
      <x:c r="AI958" s="43"/>
    </x:row>
    <x:row r="959">
      <x:c r="A959" s="43"/>
      <x:c r="B959" s="43"/>
      <x:c r="C959" s="43"/>
      <x:c r="D959" s="43" t="str">
        <x:f>IF(C959="","",YEAR(C959))</x:f>
      </x:c>
      <x:c r="E959" s="43" t="str">
        <x:f>IF(C959="","",MONTH(C959))</x:f>
      </x:c>
      <x:c r="F959" s="43" t="str">
        <x:f>IF(C959="","",WEEKNUM(C959,21))</x:f>
      </x:c>
      <x:c r="G959" s="43" t="str">
        <x:f>IF(C959="","",CHOOSE(WEEKDAY(C959,2),"Lundi","Mardi","Mercredi","Jeudi","Vendredi","Samedi","Dimanche"))</x:f>
      </x:c>
      <x:c r="H959" s="43"/>
      <x:c r="I959" s="43"/>
      <x:c r="J959" s="43"/>
      <x:c r="K959" s="43"/>
      <x:c r="L959" s="43"/>
      <x:c r="M959" s="43"/>
      <x:c r="N959" s="43"/>
      <x:c r="O959" s="43"/>
      <x:c r="P959" s="43"/>
      <x:c r="Q959" s="43"/>
      <x:c r="R959" s="43"/>
      <x:c r="S959" s="43"/>
      <x:c r="T959" s="43"/>
      <x:c r="U959" s="43"/>
      <x:c r="V959" s="43"/>
      <x:c r="W959" s="43"/>
      <x:c r="X959" s="43"/>
      <x:c r="Y959" s="43"/>
      <x:c r="Z959" s="43"/>
      <x:c r="AA959" s="43"/>
      <x:c r="AB959" s="43"/>
      <x:c r="AC959" s="43"/>
      <x:c r="AD959" s="43"/>
      <x:c r="AE959" s="43"/>
      <x:c r="AF959" s="43"/>
      <x:c r="AG959" s="67"/>
      <x:c r="AH959" s="43"/>
      <x:c r="AI959" s="43"/>
    </x:row>
    <x:row r="960">
      <x:c r="A960" s="43"/>
      <x:c r="B960" s="43"/>
      <x:c r="C960" s="43"/>
      <x:c r="D960" s="43" t="str">
        <x:f>IF(C960="","",YEAR(C960))</x:f>
      </x:c>
      <x:c r="E960" s="43" t="str">
        <x:f>IF(C960="","",MONTH(C960))</x:f>
      </x:c>
      <x:c r="F960" s="43" t="str">
        <x:f>IF(C960="","",WEEKNUM(C960,21))</x:f>
      </x:c>
      <x:c r="G960" s="43" t="str">
        <x:f>IF(C960="","",CHOOSE(WEEKDAY(C960,2),"Lundi","Mardi","Mercredi","Jeudi","Vendredi","Samedi","Dimanche"))</x:f>
      </x:c>
      <x:c r="H960" s="43"/>
      <x:c r="I960" s="43"/>
      <x:c r="J960" s="43"/>
      <x:c r="K960" s="43"/>
      <x:c r="L960" s="43"/>
      <x:c r="M960" s="43"/>
      <x:c r="N960" s="43"/>
      <x:c r="O960" s="43"/>
      <x:c r="P960" s="43"/>
      <x:c r="Q960" s="43"/>
      <x:c r="R960" s="43"/>
      <x:c r="S960" s="43"/>
      <x:c r="T960" s="43"/>
      <x:c r="U960" s="43"/>
      <x:c r="V960" s="43"/>
      <x:c r="W960" s="43"/>
      <x:c r="X960" s="43"/>
      <x:c r="Y960" s="43"/>
      <x:c r="Z960" s="43"/>
      <x:c r="AA960" s="43"/>
      <x:c r="AB960" s="43"/>
      <x:c r="AC960" s="43"/>
      <x:c r="AD960" s="43"/>
      <x:c r="AE960" s="43"/>
      <x:c r="AF960" s="43"/>
      <x:c r="AG960" s="67"/>
      <x:c r="AH960" s="43"/>
      <x:c r="AI960" s="43"/>
    </x:row>
    <x:row r="961">
      <x:c r="A961" s="43"/>
      <x:c r="B961" s="43"/>
      <x:c r="C961" s="43"/>
      <x:c r="D961" s="43" t="str">
        <x:f>IF(C961="","",YEAR(C961))</x:f>
      </x:c>
      <x:c r="E961" s="43" t="str">
        <x:f>IF(C961="","",MONTH(C961))</x:f>
      </x:c>
      <x:c r="F961" s="43" t="str">
        <x:f>IF(C961="","",WEEKNUM(C961,21))</x:f>
      </x:c>
      <x:c r="G961" s="43" t="str">
        <x:f>IF(C961="","",CHOOSE(WEEKDAY(C961,2),"Lundi","Mardi","Mercredi","Jeudi","Vendredi","Samedi","Dimanche"))</x:f>
      </x:c>
      <x:c r="H961" s="43"/>
      <x:c r="I961" s="43"/>
      <x:c r="J961" s="43"/>
      <x:c r="K961" s="43"/>
      <x:c r="L961" s="43"/>
      <x:c r="M961" s="43"/>
      <x:c r="N961" s="43"/>
      <x:c r="O961" s="43"/>
      <x:c r="P961" s="43"/>
      <x:c r="Q961" s="43"/>
      <x:c r="R961" s="43"/>
      <x:c r="S961" s="43"/>
      <x:c r="T961" s="43"/>
      <x:c r="U961" s="43"/>
      <x:c r="V961" s="43"/>
      <x:c r="W961" s="43"/>
      <x:c r="X961" s="43"/>
      <x:c r="Y961" s="43"/>
      <x:c r="Z961" s="43"/>
      <x:c r="AA961" s="43"/>
      <x:c r="AB961" s="43"/>
      <x:c r="AC961" s="43"/>
      <x:c r="AD961" s="43"/>
      <x:c r="AE961" s="43"/>
      <x:c r="AF961" s="43"/>
      <x:c r="AG961" s="67"/>
      <x:c r="AH961" s="43"/>
      <x:c r="AI961" s="43"/>
    </x:row>
    <x:row r="962">
      <x:c r="A962" s="43"/>
      <x:c r="B962" s="43"/>
      <x:c r="C962" s="43"/>
      <x:c r="D962" s="43" t="str">
        <x:f>IF(C962="","",YEAR(C962))</x:f>
      </x:c>
      <x:c r="E962" s="43" t="str">
        <x:f>IF(C962="","",MONTH(C962))</x:f>
      </x:c>
      <x:c r="F962" s="43" t="str">
        <x:f>IF(C962="","",WEEKNUM(C962,21))</x:f>
      </x:c>
      <x:c r="G962" s="43" t="str">
        <x:f>IF(C962="","",CHOOSE(WEEKDAY(C962,2),"Lundi","Mardi","Mercredi","Jeudi","Vendredi","Samedi","Dimanche"))</x:f>
      </x:c>
      <x:c r="H962" s="43"/>
      <x:c r="I962" s="43"/>
      <x:c r="J962" s="43"/>
      <x:c r="K962" s="43"/>
      <x:c r="L962" s="43"/>
      <x:c r="M962" s="43"/>
      <x:c r="N962" s="43"/>
      <x:c r="O962" s="43"/>
      <x:c r="P962" s="43"/>
      <x:c r="Q962" s="43"/>
      <x:c r="R962" s="43"/>
      <x:c r="S962" s="43"/>
      <x:c r="T962" s="43"/>
      <x:c r="U962" s="43"/>
      <x:c r="V962" s="43"/>
      <x:c r="W962" s="43"/>
      <x:c r="X962" s="43"/>
      <x:c r="Y962" s="43"/>
      <x:c r="Z962" s="43"/>
      <x:c r="AA962" s="43"/>
      <x:c r="AB962" s="43"/>
      <x:c r="AC962" s="43"/>
      <x:c r="AD962" s="43"/>
      <x:c r="AE962" s="43"/>
      <x:c r="AF962" s="43"/>
      <x:c r="AG962" s="67"/>
      <x:c r="AH962" s="43"/>
      <x:c r="AI962" s="43"/>
    </x:row>
    <x:row r="963">
      <x:c r="A963" s="43"/>
      <x:c r="B963" s="43"/>
      <x:c r="C963" s="43"/>
      <x:c r="D963" s="43" t="str">
        <x:f>IF(C963="","",YEAR(C963))</x:f>
      </x:c>
      <x:c r="E963" s="43" t="str">
        <x:f>IF(C963="","",MONTH(C963))</x:f>
      </x:c>
      <x:c r="F963" s="43" t="str">
        <x:f>IF(C963="","",WEEKNUM(C963,21))</x:f>
      </x:c>
      <x:c r="G963" s="43" t="str">
        <x:f>IF(C963="","",CHOOSE(WEEKDAY(C963,2),"Lundi","Mardi","Mercredi","Jeudi","Vendredi","Samedi","Dimanche"))</x:f>
      </x:c>
      <x:c r="H963" s="43"/>
      <x:c r="I963" s="43"/>
      <x:c r="J963" s="43"/>
      <x:c r="K963" s="43"/>
      <x:c r="L963" s="43"/>
      <x:c r="M963" s="43"/>
      <x:c r="N963" s="43"/>
      <x:c r="O963" s="43"/>
      <x:c r="P963" s="43"/>
      <x:c r="Q963" s="43"/>
      <x:c r="R963" s="43"/>
      <x:c r="S963" s="43"/>
      <x:c r="T963" s="43"/>
      <x:c r="U963" s="43"/>
      <x:c r="V963" s="43"/>
      <x:c r="W963" s="43"/>
      <x:c r="X963" s="43"/>
      <x:c r="Y963" s="43"/>
      <x:c r="Z963" s="43"/>
      <x:c r="AA963" s="43"/>
      <x:c r="AB963" s="43"/>
      <x:c r="AC963" s="43"/>
      <x:c r="AD963" s="43"/>
      <x:c r="AE963" s="43"/>
      <x:c r="AF963" s="43"/>
      <x:c r="AG963" s="67"/>
      <x:c r="AH963" s="43"/>
      <x:c r="AI963" s="43"/>
    </x:row>
    <x:row r="964">
      <x:c r="A964" s="43"/>
      <x:c r="B964" s="43"/>
      <x:c r="C964" s="43"/>
      <x:c r="D964" s="43" t="str">
        <x:f>IF(C964="","",YEAR(C964))</x:f>
      </x:c>
      <x:c r="E964" s="43" t="str">
        <x:f>IF(C964="","",MONTH(C964))</x:f>
      </x:c>
      <x:c r="F964" s="43" t="str">
        <x:f>IF(C964="","",WEEKNUM(C964,21))</x:f>
      </x:c>
      <x:c r="G964" s="43" t="str">
        <x:f>IF(C964="","",CHOOSE(WEEKDAY(C964,2),"Lundi","Mardi","Mercredi","Jeudi","Vendredi","Samedi","Dimanche"))</x:f>
      </x:c>
      <x:c r="H964" s="43"/>
      <x:c r="I964" s="43"/>
      <x:c r="J964" s="43"/>
      <x:c r="K964" s="43"/>
      <x:c r="L964" s="43"/>
      <x:c r="M964" s="43"/>
      <x:c r="N964" s="43"/>
      <x:c r="O964" s="43"/>
      <x:c r="P964" s="43"/>
      <x:c r="Q964" s="43"/>
      <x:c r="R964" s="43"/>
      <x:c r="S964" s="43"/>
      <x:c r="T964" s="43"/>
      <x:c r="U964" s="43"/>
      <x:c r="V964" s="43"/>
      <x:c r="W964" s="43"/>
      <x:c r="X964" s="43"/>
      <x:c r="Y964" s="43"/>
      <x:c r="Z964" s="43"/>
      <x:c r="AA964" s="43"/>
      <x:c r="AB964" s="43"/>
      <x:c r="AC964" s="43"/>
      <x:c r="AD964" s="43"/>
      <x:c r="AE964" s="43"/>
      <x:c r="AF964" s="43"/>
      <x:c r="AG964" s="67"/>
      <x:c r="AH964" s="43"/>
      <x:c r="AI964" s="43"/>
    </x:row>
    <x:row r="965">
      <x:c r="A965" s="43"/>
      <x:c r="B965" s="43"/>
      <x:c r="C965" s="43"/>
      <x:c r="D965" s="43" t="str">
        <x:f>IF(C965="","",YEAR(C965))</x:f>
      </x:c>
      <x:c r="E965" s="43" t="str">
        <x:f>IF(C965="","",MONTH(C965))</x:f>
      </x:c>
      <x:c r="F965" s="43" t="str">
        <x:f>IF(C965="","",WEEKNUM(C965,21))</x:f>
      </x:c>
      <x:c r="G965" s="43" t="str">
        <x:f>IF(C965="","",CHOOSE(WEEKDAY(C965,2),"Lundi","Mardi","Mercredi","Jeudi","Vendredi","Samedi","Dimanche"))</x:f>
      </x:c>
      <x:c r="H965" s="43"/>
      <x:c r="I965" s="43"/>
      <x:c r="J965" s="43"/>
      <x:c r="K965" s="43"/>
      <x:c r="L965" s="43"/>
      <x:c r="M965" s="43"/>
      <x:c r="N965" s="43"/>
      <x:c r="O965" s="43"/>
      <x:c r="P965" s="43"/>
      <x:c r="Q965" s="43"/>
      <x:c r="R965" s="43"/>
      <x:c r="S965" s="43"/>
      <x:c r="T965" s="43"/>
      <x:c r="U965" s="43"/>
      <x:c r="V965" s="43"/>
      <x:c r="W965" s="43"/>
      <x:c r="X965" s="43"/>
      <x:c r="Y965" s="43"/>
      <x:c r="Z965" s="43"/>
      <x:c r="AA965" s="43"/>
      <x:c r="AB965" s="43"/>
      <x:c r="AC965" s="43"/>
      <x:c r="AD965" s="43"/>
      <x:c r="AE965" s="43"/>
      <x:c r="AF965" s="43"/>
      <x:c r="AG965" s="67"/>
      <x:c r="AH965" s="43"/>
      <x:c r="AI965" s="43"/>
    </x:row>
    <x:row r="966">
      <x:c r="A966" s="43"/>
      <x:c r="B966" s="43"/>
      <x:c r="C966" s="43"/>
      <x:c r="D966" s="43" t="str">
        <x:f>IF(C966="","",YEAR(C966))</x:f>
      </x:c>
      <x:c r="E966" s="43" t="str">
        <x:f>IF(C966="","",MONTH(C966))</x:f>
      </x:c>
      <x:c r="F966" s="43" t="str">
        <x:f>IF(C966="","",WEEKNUM(C966,21))</x:f>
      </x:c>
      <x:c r="G966" s="43" t="str">
        <x:f>IF(C966="","",CHOOSE(WEEKDAY(C966,2),"Lundi","Mardi","Mercredi","Jeudi","Vendredi","Samedi","Dimanche"))</x:f>
      </x:c>
      <x:c r="H966" s="43"/>
      <x:c r="I966" s="43"/>
      <x:c r="J966" s="43"/>
      <x:c r="K966" s="43"/>
      <x:c r="L966" s="43"/>
      <x:c r="M966" s="43"/>
      <x:c r="N966" s="43"/>
      <x:c r="O966" s="43"/>
      <x:c r="P966" s="43"/>
      <x:c r="Q966" s="43"/>
      <x:c r="R966" s="43"/>
      <x:c r="S966" s="43"/>
      <x:c r="T966" s="43"/>
      <x:c r="U966" s="43"/>
      <x:c r="V966" s="43"/>
      <x:c r="W966" s="43"/>
      <x:c r="X966" s="43"/>
      <x:c r="Y966" s="43"/>
      <x:c r="Z966" s="43"/>
      <x:c r="AA966" s="43"/>
      <x:c r="AB966" s="43"/>
      <x:c r="AC966" s="43"/>
      <x:c r="AD966" s="43"/>
      <x:c r="AE966" s="43"/>
      <x:c r="AF966" s="43"/>
      <x:c r="AG966" s="67"/>
      <x:c r="AH966" s="43"/>
      <x:c r="AI966" s="43"/>
    </x:row>
    <x:row r="967">
      <x:c r="A967" s="43"/>
      <x:c r="B967" s="43"/>
      <x:c r="C967" s="43"/>
      <x:c r="D967" s="43" t="str">
        <x:f>IF(C967="","",YEAR(C967))</x:f>
      </x:c>
      <x:c r="E967" s="43" t="str">
        <x:f>IF(C967="","",MONTH(C967))</x:f>
      </x:c>
      <x:c r="F967" s="43" t="str">
        <x:f>IF(C967="","",WEEKNUM(C967,21))</x:f>
      </x:c>
      <x:c r="G967" s="43" t="str">
        <x:f>IF(C967="","",CHOOSE(WEEKDAY(C967,2),"Lundi","Mardi","Mercredi","Jeudi","Vendredi","Samedi","Dimanche"))</x:f>
      </x:c>
      <x:c r="H967" s="43"/>
      <x:c r="I967" s="43"/>
      <x:c r="J967" s="43"/>
      <x:c r="K967" s="43"/>
      <x:c r="L967" s="43"/>
      <x:c r="M967" s="43"/>
      <x:c r="N967" s="43"/>
      <x:c r="O967" s="43"/>
      <x:c r="P967" s="43"/>
      <x:c r="Q967" s="43"/>
      <x:c r="R967" s="43"/>
      <x:c r="S967" s="43"/>
      <x:c r="T967" s="43"/>
      <x:c r="U967" s="43"/>
      <x:c r="V967" s="43"/>
      <x:c r="W967" s="43"/>
      <x:c r="X967" s="43"/>
      <x:c r="Y967" s="43"/>
      <x:c r="Z967" s="43"/>
      <x:c r="AA967" s="43"/>
      <x:c r="AB967" s="43"/>
      <x:c r="AC967" s="43"/>
      <x:c r="AD967" s="43"/>
      <x:c r="AE967" s="43"/>
      <x:c r="AF967" s="43"/>
      <x:c r="AG967" s="67"/>
      <x:c r="AH967" s="43"/>
      <x:c r="AI967" s="43"/>
    </x:row>
    <x:row r="968">
      <x:c r="A968" s="43"/>
      <x:c r="B968" s="43"/>
      <x:c r="C968" s="43"/>
      <x:c r="D968" s="43" t="str">
        <x:f>IF(C968="","",YEAR(C968))</x:f>
      </x:c>
      <x:c r="E968" s="43" t="str">
        <x:f>IF(C968="","",MONTH(C968))</x:f>
      </x:c>
      <x:c r="F968" s="43" t="str">
        <x:f>IF(C968="","",WEEKNUM(C968,21))</x:f>
      </x:c>
      <x:c r="G968" s="43" t="str">
        <x:f>IF(C968="","",CHOOSE(WEEKDAY(C968,2),"Lundi","Mardi","Mercredi","Jeudi","Vendredi","Samedi","Dimanche"))</x:f>
      </x:c>
      <x:c r="H968" s="43"/>
      <x:c r="I968" s="43"/>
      <x:c r="J968" s="43"/>
      <x:c r="K968" s="43"/>
      <x:c r="L968" s="43"/>
      <x:c r="M968" s="43"/>
      <x:c r="N968" s="43"/>
      <x:c r="O968" s="43"/>
      <x:c r="P968" s="43"/>
      <x:c r="Q968" s="43"/>
      <x:c r="R968" s="43"/>
      <x:c r="S968" s="43"/>
      <x:c r="T968" s="43"/>
      <x:c r="U968" s="43"/>
      <x:c r="V968" s="43"/>
      <x:c r="W968" s="43"/>
      <x:c r="X968" s="43"/>
      <x:c r="Y968" s="43"/>
      <x:c r="Z968" s="43"/>
      <x:c r="AA968" s="43"/>
      <x:c r="AB968" s="43"/>
      <x:c r="AC968" s="43"/>
      <x:c r="AD968" s="43"/>
      <x:c r="AE968" s="43"/>
      <x:c r="AF968" s="43"/>
      <x:c r="AG968" s="67"/>
      <x:c r="AH968" s="43"/>
      <x:c r="AI968" s="43"/>
    </x:row>
    <x:row r="969">
      <x:c r="A969" s="43"/>
      <x:c r="B969" s="43"/>
      <x:c r="C969" s="43"/>
      <x:c r="D969" s="43" t="str">
        <x:f>IF(C969="","",YEAR(C969))</x:f>
      </x:c>
      <x:c r="E969" s="43" t="str">
        <x:f>IF(C969="","",MONTH(C969))</x:f>
      </x:c>
      <x:c r="F969" s="43" t="str">
        <x:f>IF(C969="","",WEEKNUM(C969,21))</x:f>
      </x:c>
      <x:c r="G969" s="43" t="str">
        <x:f>IF(C969="","",CHOOSE(WEEKDAY(C969,2),"Lundi","Mardi","Mercredi","Jeudi","Vendredi","Samedi","Dimanche"))</x:f>
      </x:c>
      <x:c r="H969" s="43"/>
      <x:c r="I969" s="43"/>
      <x:c r="J969" s="43"/>
      <x:c r="K969" s="43"/>
      <x:c r="L969" s="43"/>
      <x:c r="M969" s="43"/>
      <x:c r="N969" s="43"/>
      <x:c r="O969" s="43"/>
      <x:c r="P969" s="43"/>
      <x:c r="Q969" s="43"/>
      <x:c r="R969" s="43"/>
      <x:c r="S969" s="43"/>
      <x:c r="T969" s="43"/>
      <x:c r="U969" s="43"/>
      <x:c r="V969" s="43"/>
      <x:c r="W969" s="43"/>
      <x:c r="X969" s="43"/>
      <x:c r="Y969" s="43"/>
      <x:c r="Z969" s="43"/>
      <x:c r="AA969" s="43"/>
      <x:c r="AB969" s="43"/>
      <x:c r="AC969" s="43"/>
      <x:c r="AD969" s="43"/>
      <x:c r="AE969" s="43"/>
      <x:c r="AF969" s="43"/>
      <x:c r="AG969" s="67"/>
      <x:c r="AH969" s="43"/>
      <x:c r="AI969" s="43"/>
    </x:row>
    <x:row r="970">
      <x:c r="A970" s="43"/>
      <x:c r="B970" s="43"/>
      <x:c r="C970" s="43"/>
      <x:c r="D970" s="43" t="str">
        <x:f>IF(C970="","",YEAR(C970))</x:f>
      </x:c>
      <x:c r="E970" s="43" t="str">
        <x:f>IF(C970="","",MONTH(C970))</x:f>
      </x:c>
      <x:c r="F970" s="43" t="str">
        <x:f>IF(C970="","",WEEKNUM(C970,21))</x:f>
      </x:c>
      <x:c r="G970" s="43" t="str">
        <x:f>IF(C970="","",CHOOSE(WEEKDAY(C970,2),"Lundi","Mardi","Mercredi","Jeudi","Vendredi","Samedi","Dimanche"))</x:f>
      </x:c>
      <x:c r="H970" s="43"/>
      <x:c r="I970" s="43"/>
      <x:c r="J970" s="43"/>
      <x:c r="K970" s="43"/>
      <x:c r="L970" s="43"/>
      <x:c r="M970" s="43"/>
      <x:c r="N970" s="43"/>
      <x:c r="O970" s="43"/>
      <x:c r="P970" s="43"/>
      <x:c r="Q970" s="43"/>
      <x:c r="R970" s="43"/>
      <x:c r="S970" s="43"/>
      <x:c r="T970" s="43"/>
      <x:c r="U970" s="43"/>
      <x:c r="V970" s="43"/>
      <x:c r="W970" s="43"/>
      <x:c r="X970" s="43"/>
      <x:c r="Y970" s="43"/>
      <x:c r="Z970" s="43"/>
      <x:c r="AA970" s="43"/>
      <x:c r="AB970" s="43"/>
      <x:c r="AC970" s="43"/>
      <x:c r="AD970" s="43"/>
      <x:c r="AE970" s="43"/>
      <x:c r="AF970" s="43"/>
      <x:c r="AG970" s="67"/>
      <x:c r="AH970" s="43"/>
      <x:c r="AI970" s="43"/>
    </x:row>
    <x:row r="971">
      <x:c r="A971" s="43"/>
      <x:c r="B971" s="43"/>
      <x:c r="C971" s="43"/>
      <x:c r="D971" s="43" t="str">
        <x:f>IF(C971="","",YEAR(C971))</x:f>
      </x:c>
      <x:c r="E971" s="43" t="str">
        <x:f>IF(C971="","",MONTH(C971))</x:f>
      </x:c>
      <x:c r="F971" s="43" t="str">
        <x:f>IF(C971="","",WEEKNUM(C971,21))</x:f>
      </x:c>
      <x:c r="G971" s="43" t="str">
        <x:f>IF(C971="","",CHOOSE(WEEKDAY(C971,2),"Lundi","Mardi","Mercredi","Jeudi","Vendredi","Samedi","Dimanche"))</x:f>
      </x:c>
      <x:c r="H971" s="43"/>
      <x:c r="I971" s="43"/>
      <x:c r="J971" s="43"/>
      <x:c r="K971" s="43"/>
      <x:c r="L971" s="43"/>
      <x:c r="M971" s="43"/>
      <x:c r="N971" s="43"/>
      <x:c r="O971" s="43"/>
      <x:c r="P971" s="43"/>
      <x:c r="Q971" s="43"/>
      <x:c r="R971" s="43"/>
      <x:c r="S971" s="43"/>
      <x:c r="T971" s="43"/>
      <x:c r="U971" s="43"/>
      <x:c r="V971" s="43"/>
      <x:c r="W971" s="43"/>
      <x:c r="X971" s="43"/>
      <x:c r="Y971" s="43"/>
      <x:c r="Z971" s="43"/>
      <x:c r="AA971" s="43"/>
      <x:c r="AB971" s="43"/>
      <x:c r="AC971" s="43"/>
      <x:c r="AD971" s="43"/>
      <x:c r="AE971" s="43"/>
      <x:c r="AF971" s="43"/>
      <x:c r="AG971" s="67"/>
      <x:c r="AH971" s="43"/>
      <x:c r="AI971" s="43"/>
    </x:row>
    <x:row r="972">
      <x:c r="A972" s="43"/>
      <x:c r="B972" s="43"/>
      <x:c r="C972" s="43"/>
      <x:c r="D972" s="43" t="str">
        <x:f>IF(C972="","",YEAR(C972))</x:f>
      </x:c>
      <x:c r="E972" s="43" t="str">
        <x:f>IF(C972="","",MONTH(C972))</x:f>
      </x:c>
      <x:c r="F972" s="43" t="str">
        <x:f>IF(C972="","",WEEKNUM(C972,21))</x:f>
      </x:c>
      <x:c r="G972" s="43" t="str">
        <x:f>IF(C972="","",CHOOSE(WEEKDAY(C972,2),"Lundi","Mardi","Mercredi","Jeudi","Vendredi","Samedi","Dimanche"))</x:f>
      </x:c>
      <x:c r="H972" s="43"/>
      <x:c r="I972" s="43"/>
      <x:c r="J972" s="43"/>
      <x:c r="K972" s="43"/>
      <x:c r="L972" s="43"/>
      <x:c r="M972" s="43"/>
      <x:c r="N972" s="43"/>
      <x:c r="O972" s="43"/>
      <x:c r="P972" s="43"/>
      <x:c r="Q972" s="43"/>
      <x:c r="R972" s="43"/>
      <x:c r="S972" s="43"/>
      <x:c r="T972" s="43"/>
      <x:c r="U972" s="43"/>
      <x:c r="V972" s="43"/>
      <x:c r="W972" s="43"/>
      <x:c r="X972" s="43"/>
      <x:c r="Y972" s="43"/>
      <x:c r="Z972" s="43"/>
      <x:c r="AA972" s="43"/>
      <x:c r="AB972" s="43"/>
      <x:c r="AC972" s="43"/>
      <x:c r="AD972" s="43"/>
      <x:c r="AE972" s="43"/>
      <x:c r="AF972" s="43"/>
      <x:c r="AG972" s="67"/>
      <x:c r="AH972" s="43"/>
      <x:c r="AI972" s="43"/>
    </x:row>
    <x:row r="973">
      <x:c r="A973" s="43"/>
      <x:c r="B973" s="43"/>
      <x:c r="C973" s="43"/>
      <x:c r="D973" s="43" t="str">
        <x:f>IF(C973="","",YEAR(C973))</x:f>
      </x:c>
      <x:c r="E973" s="43" t="str">
        <x:f>IF(C973="","",MONTH(C973))</x:f>
      </x:c>
      <x:c r="F973" s="43" t="str">
        <x:f>IF(C973="","",WEEKNUM(C973,21))</x:f>
      </x:c>
      <x:c r="G973" s="43" t="str">
        <x:f>IF(C973="","",CHOOSE(WEEKDAY(C973,2),"Lundi","Mardi","Mercredi","Jeudi","Vendredi","Samedi","Dimanche"))</x:f>
      </x:c>
      <x:c r="H973" s="43"/>
      <x:c r="I973" s="43"/>
      <x:c r="J973" s="43"/>
      <x:c r="K973" s="43"/>
      <x:c r="L973" s="43"/>
      <x:c r="M973" s="43"/>
      <x:c r="N973" s="43"/>
      <x:c r="O973" s="43"/>
      <x:c r="P973" s="43"/>
      <x:c r="Q973" s="43"/>
      <x:c r="R973" s="43"/>
      <x:c r="S973" s="43"/>
      <x:c r="T973" s="43"/>
      <x:c r="U973" s="43"/>
      <x:c r="V973" s="43"/>
      <x:c r="W973" s="43"/>
      <x:c r="X973" s="43"/>
      <x:c r="Y973" s="43"/>
      <x:c r="Z973" s="43"/>
      <x:c r="AA973" s="43"/>
      <x:c r="AB973" s="43"/>
      <x:c r="AC973" s="43"/>
      <x:c r="AD973" s="43"/>
      <x:c r="AE973" s="43"/>
      <x:c r="AF973" s="43"/>
      <x:c r="AG973" s="67"/>
      <x:c r="AH973" s="43"/>
      <x:c r="AI973" s="43"/>
    </x:row>
    <x:row r="974">
      <x:c r="A974" s="43"/>
      <x:c r="B974" s="43"/>
      <x:c r="C974" s="43"/>
      <x:c r="D974" s="43" t="str">
        <x:f>IF(C974="","",YEAR(C974))</x:f>
      </x:c>
      <x:c r="E974" s="43" t="str">
        <x:f>IF(C974="","",MONTH(C974))</x:f>
      </x:c>
      <x:c r="F974" s="43" t="str">
        <x:f>IF(C974="","",WEEKNUM(C974,21))</x:f>
      </x:c>
      <x:c r="G974" s="43" t="str">
        <x:f>IF(C974="","",CHOOSE(WEEKDAY(C974,2),"Lundi","Mardi","Mercredi","Jeudi","Vendredi","Samedi","Dimanche"))</x:f>
      </x:c>
      <x:c r="H974" s="43"/>
      <x:c r="I974" s="43"/>
      <x:c r="J974" s="43"/>
      <x:c r="K974" s="43"/>
      <x:c r="L974" s="43"/>
      <x:c r="M974" s="43"/>
      <x:c r="N974" s="43"/>
      <x:c r="O974" s="43"/>
      <x:c r="P974" s="43"/>
      <x:c r="Q974" s="43"/>
      <x:c r="R974" s="43"/>
      <x:c r="S974" s="43"/>
      <x:c r="T974" s="43"/>
      <x:c r="U974" s="43"/>
      <x:c r="V974" s="43"/>
      <x:c r="W974" s="43"/>
      <x:c r="X974" s="43"/>
      <x:c r="Y974" s="43"/>
      <x:c r="Z974" s="43"/>
      <x:c r="AA974" s="43"/>
      <x:c r="AB974" s="43"/>
      <x:c r="AC974" s="43"/>
      <x:c r="AD974" s="43"/>
      <x:c r="AE974" s="43"/>
      <x:c r="AF974" s="43"/>
      <x:c r="AG974" s="67"/>
      <x:c r="AH974" s="43"/>
      <x:c r="AI974" s="43"/>
    </x:row>
    <x:row r="975">
      <x:c r="A975" s="43"/>
      <x:c r="B975" s="43"/>
      <x:c r="C975" s="43"/>
      <x:c r="D975" s="43" t="str">
        <x:f>IF(C975="","",YEAR(C975))</x:f>
      </x:c>
      <x:c r="E975" s="43" t="str">
        <x:f>IF(C975="","",MONTH(C975))</x:f>
      </x:c>
      <x:c r="F975" s="43" t="str">
        <x:f>IF(C975="","",WEEKNUM(C975,21))</x:f>
      </x:c>
      <x:c r="G975" s="43" t="str">
        <x:f>IF(C975="","",CHOOSE(WEEKDAY(C975,2),"Lundi","Mardi","Mercredi","Jeudi","Vendredi","Samedi","Dimanche"))</x:f>
      </x:c>
      <x:c r="H975" s="43"/>
      <x:c r="I975" s="43"/>
      <x:c r="J975" s="43"/>
      <x:c r="K975" s="43"/>
      <x:c r="L975" s="43"/>
      <x:c r="M975" s="43"/>
      <x:c r="N975" s="43"/>
      <x:c r="O975" s="43"/>
      <x:c r="P975" s="43"/>
      <x:c r="Q975" s="43"/>
      <x:c r="R975" s="43"/>
      <x:c r="S975" s="43"/>
      <x:c r="T975" s="43"/>
      <x:c r="U975" s="43"/>
      <x:c r="V975" s="43"/>
      <x:c r="W975" s="43"/>
      <x:c r="X975" s="43"/>
      <x:c r="Y975" s="43"/>
      <x:c r="Z975" s="43"/>
      <x:c r="AA975" s="43"/>
      <x:c r="AB975" s="43"/>
      <x:c r="AC975" s="43"/>
      <x:c r="AD975" s="43"/>
      <x:c r="AE975" s="43"/>
      <x:c r="AF975" s="43"/>
      <x:c r="AG975" s="67"/>
      <x:c r="AH975" s="43"/>
      <x:c r="AI975" s="43"/>
    </x:row>
    <x:row r="976">
      <x:c r="A976" s="43"/>
      <x:c r="B976" s="43"/>
      <x:c r="C976" s="43"/>
      <x:c r="D976" s="43" t="str">
        <x:f>IF(C976="","",YEAR(C976))</x:f>
      </x:c>
      <x:c r="E976" s="43" t="str">
        <x:f>IF(C976="","",MONTH(C976))</x:f>
      </x:c>
      <x:c r="F976" s="43" t="str">
        <x:f>IF(C976="","",WEEKNUM(C976,21))</x:f>
      </x:c>
      <x:c r="G976" s="43" t="str">
        <x:f>IF(C976="","",CHOOSE(WEEKDAY(C976,2),"Lundi","Mardi","Mercredi","Jeudi","Vendredi","Samedi","Dimanche"))</x:f>
      </x:c>
      <x:c r="H976" s="43"/>
      <x:c r="I976" s="43"/>
      <x:c r="J976" s="43"/>
      <x:c r="K976" s="43"/>
      <x:c r="L976" s="43"/>
      <x:c r="M976" s="43"/>
      <x:c r="N976" s="43"/>
      <x:c r="O976" s="43"/>
      <x:c r="P976" s="43"/>
      <x:c r="Q976" s="43"/>
      <x:c r="R976" s="43"/>
      <x:c r="S976" s="43"/>
      <x:c r="T976" s="43"/>
      <x:c r="U976" s="43"/>
      <x:c r="V976" s="43"/>
      <x:c r="W976" s="43"/>
      <x:c r="X976" s="43"/>
      <x:c r="Y976" s="43"/>
      <x:c r="Z976" s="43"/>
      <x:c r="AA976" s="43"/>
      <x:c r="AB976" s="43"/>
      <x:c r="AC976" s="43"/>
      <x:c r="AD976" s="43"/>
      <x:c r="AE976" s="43"/>
      <x:c r="AF976" s="43"/>
      <x:c r="AG976" s="67"/>
      <x:c r="AH976" s="43"/>
      <x:c r="AI976" s="43"/>
    </x:row>
    <x:row r="977">
      <x:c r="A977" s="43"/>
      <x:c r="B977" s="43"/>
      <x:c r="C977" s="43"/>
      <x:c r="D977" s="43" t="str">
        <x:f>IF(C977="","",YEAR(C977))</x:f>
      </x:c>
      <x:c r="E977" s="43" t="str">
        <x:f>IF(C977="","",MONTH(C977))</x:f>
      </x:c>
      <x:c r="F977" s="43" t="str">
        <x:f>IF(C977="","",WEEKNUM(C977,21))</x:f>
      </x:c>
      <x:c r="G977" s="43" t="str">
        <x:f>IF(C977="","",CHOOSE(WEEKDAY(C977,2),"Lundi","Mardi","Mercredi","Jeudi","Vendredi","Samedi","Dimanche"))</x:f>
      </x:c>
      <x:c r="H977" s="43"/>
      <x:c r="I977" s="43"/>
      <x:c r="J977" s="43"/>
      <x:c r="K977" s="43"/>
      <x:c r="L977" s="43"/>
      <x:c r="M977" s="43"/>
      <x:c r="N977" s="43"/>
      <x:c r="O977" s="43"/>
      <x:c r="P977" s="43"/>
      <x:c r="Q977" s="43"/>
      <x:c r="R977" s="43"/>
      <x:c r="S977" s="43"/>
      <x:c r="T977" s="43"/>
      <x:c r="U977" s="43"/>
      <x:c r="V977" s="43"/>
      <x:c r="W977" s="43"/>
      <x:c r="X977" s="43"/>
      <x:c r="Y977" s="43"/>
      <x:c r="Z977" s="43"/>
      <x:c r="AA977" s="43"/>
      <x:c r="AB977" s="43"/>
      <x:c r="AC977" s="43"/>
      <x:c r="AD977" s="43"/>
      <x:c r="AE977" s="43"/>
      <x:c r="AF977" s="43"/>
      <x:c r="AG977" s="67"/>
      <x:c r="AH977" s="43"/>
      <x:c r="AI977" s="43"/>
    </x:row>
    <x:row r="978">
      <x:c r="A978" s="43"/>
      <x:c r="B978" s="43"/>
      <x:c r="C978" s="43"/>
      <x:c r="D978" s="43" t="str">
        <x:f>IF(C978="","",YEAR(C978))</x:f>
      </x:c>
      <x:c r="E978" s="43" t="str">
        <x:f>IF(C978="","",MONTH(C978))</x:f>
      </x:c>
      <x:c r="F978" s="43" t="str">
        <x:f>IF(C978="","",WEEKNUM(C978,21))</x:f>
      </x:c>
      <x:c r="G978" s="43" t="str">
        <x:f>IF(C978="","",CHOOSE(WEEKDAY(C978,2),"Lundi","Mardi","Mercredi","Jeudi","Vendredi","Samedi","Dimanche"))</x:f>
      </x:c>
      <x:c r="H978" s="43"/>
      <x:c r="I978" s="43"/>
      <x:c r="J978" s="43"/>
      <x:c r="K978" s="43"/>
      <x:c r="L978" s="43"/>
      <x:c r="M978" s="43"/>
      <x:c r="N978" s="43"/>
      <x:c r="O978" s="43"/>
      <x:c r="P978" s="43"/>
      <x:c r="Q978" s="43"/>
      <x:c r="R978" s="43"/>
      <x:c r="S978" s="43"/>
      <x:c r="T978" s="43"/>
      <x:c r="U978" s="43"/>
      <x:c r="V978" s="43"/>
      <x:c r="W978" s="43"/>
      <x:c r="X978" s="43"/>
      <x:c r="Y978" s="43"/>
      <x:c r="Z978" s="43"/>
      <x:c r="AA978" s="43"/>
      <x:c r="AB978" s="43"/>
      <x:c r="AC978" s="43"/>
      <x:c r="AD978" s="43"/>
      <x:c r="AE978" s="43"/>
      <x:c r="AF978" s="43"/>
      <x:c r="AG978" s="67"/>
      <x:c r="AH978" s="43"/>
      <x:c r="AI978" s="43"/>
    </x:row>
    <x:row r="979">
      <x:c r="A979" s="43"/>
      <x:c r="B979" s="43"/>
      <x:c r="C979" s="43"/>
      <x:c r="D979" s="43" t="str">
        <x:f>IF(C979="","",YEAR(C979))</x:f>
      </x:c>
      <x:c r="E979" s="43" t="str">
        <x:f>IF(C979="","",MONTH(C979))</x:f>
      </x:c>
      <x:c r="F979" s="43" t="str">
        <x:f>IF(C979="","",WEEKNUM(C979,21))</x:f>
      </x:c>
      <x:c r="G979" s="43" t="str">
        <x:f>IF(C979="","",CHOOSE(WEEKDAY(C979,2),"Lundi","Mardi","Mercredi","Jeudi","Vendredi","Samedi","Dimanche"))</x:f>
      </x:c>
      <x:c r="H979" s="43"/>
      <x:c r="I979" s="43"/>
      <x:c r="J979" s="43"/>
      <x:c r="K979" s="43"/>
      <x:c r="L979" s="43"/>
      <x:c r="M979" s="43"/>
      <x:c r="N979" s="43"/>
      <x:c r="O979" s="43"/>
      <x:c r="P979" s="43"/>
      <x:c r="Q979" s="43"/>
      <x:c r="R979" s="43"/>
      <x:c r="S979" s="43"/>
      <x:c r="T979" s="43"/>
      <x:c r="U979" s="43"/>
      <x:c r="V979" s="43"/>
      <x:c r="W979" s="43"/>
      <x:c r="X979" s="43"/>
      <x:c r="Y979" s="43"/>
      <x:c r="Z979" s="43"/>
      <x:c r="AA979" s="43"/>
      <x:c r="AB979" s="43"/>
      <x:c r="AC979" s="43"/>
      <x:c r="AD979" s="43"/>
      <x:c r="AE979" s="43"/>
      <x:c r="AF979" s="43"/>
      <x:c r="AG979" s="67"/>
      <x:c r="AH979" s="43"/>
      <x:c r="AI979" s="43"/>
    </x:row>
    <x:row r="980">
      <x:c r="A980" s="43"/>
      <x:c r="B980" s="43"/>
      <x:c r="C980" s="43"/>
      <x:c r="D980" s="43" t="str">
        <x:f>IF(C980="","",YEAR(C980))</x:f>
      </x:c>
      <x:c r="E980" s="43" t="str">
        <x:f>IF(C980="","",MONTH(C980))</x:f>
      </x:c>
      <x:c r="F980" s="43" t="str">
        <x:f>IF(C980="","",WEEKNUM(C980,21))</x:f>
      </x:c>
      <x:c r="G980" s="43" t="str">
        <x:f>IF(C980="","",CHOOSE(WEEKDAY(C980,2),"Lundi","Mardi","Mercredi","Jeudi","Vendredi","Samedi","Dimanche"))</x:f>
      </x:c>
      <x:c r="H980" s="43"/>
      <x:c r="I980" s="43"/>
      <x:c r="J980" s="43"/>
      <x:c r="K980" s="43"/>
      <x:c r="L980" s="43"/>
      <x:c r="M980" s="43"/>
      <x:c r="N980" s="43"/>
      <x:c r="O980" s="43"/>
      <x:c r="P980" s="43"/>
      <x:c r="Q980" s="43"/>
      <x:c r="R980" s="43"/>
      <x:c r="S980" s="43"/>
      <x:c r="T980" s="43"/>
      <x:c r="U980" s="43"/>
      <x:c r="V980" s="43"/>
      <x:c r="W980" s="43"/>
      <x:c r="X980" s="43"/>
      <x:c r="Y980" s="43"/>
      <x:c r="Z980" s="43"/>
      <x:c r="AA980" s="43"/>
      <x:c r="AB980" s="43"/>
      <x:c r="AC980" s="43"/>
      <x:c r="AD980" s="43"/>
      <x:c r="AE980" s="43"/>
      <x:c r="AF980" s="43"/>
      <x:c r="AG980" s="67"/>
      <x:c r="AH980" s="43"/>
      <x:c r="AI980" s="43"/>
    </x:row>
    <x:row r="981">
      <x:c r="A981" s="43"/>
      <x:c r="B981" s="43"/>
      <x:c r="C981" s="43"/>
      <x:c r="D981" s="43" t="str">
        <x:f>IF(C981="","",YEAR(C981))</x:f>
      </x:c>
      <x:c r="E981" s="43" t="str">
        <x:f>IF(C981="","",MONTH(C981))</x:f>
      </x:c>
      <x:c r="F981" s="43" t="str">
        <x:f>IF(C981="","",WEEKNUM(C981,21))</x:f>
      </x:c>
      <x:c r="G981" s="43" t="str">
        <x:f>IF(C981="","",CHOOSE(WEEKDAY(C981,2),"Lundi","Mardi","Mercredi","Jeudi","Vendredi","Samedi","Dimanche"))</x:f>
      </x:c>
      <x:c r="H981" s="43"/>
      <x:c r="I981" s="43"/>
      <x:c r="J981" s="43"/>
      <x:c r="K981" s="43"/>
      <x:c r="L981" s="43"/>
      <x:c r="M981" s="43"/>
      <x:c r="N981" s="43"/>
      <x:c r="O981" s="43"/>
      <x:c r="P981" s="43"/>
      <x:c r="Q981" s="43"/>
      <x:c r="R981" s="43"/>
      <x:c r="S981" s="43"/>
      <x:c r="T981" s="43"/>
      <x:c r="U981" s="43"/>
      <x:c r="V981" s="43"/>
      <x:c r="W981" s="43"/>
      <x:c r="X981" s="43"/>
      <x:c r="Y981" s="43"/>
      <x:c r="Z981" s="43"/>
      <x:c r="AA981" s="43"/>
      <x:c r="AB981" s="43"/>
      <x:c r="AC981" s="43"/>
      <x:c r="AD981" s="43"/>
      <x:c r="AE981" s="43"/>
      <x:c r="AF981" s="43"/>
      <x:c r="AG981" s="67"/>
      <x:c r="AH981" s="43"/>
      <x:c r="AI981" s="43"/>
    </x:row>
    <x:row r="982">
      <x:c r="A982" s="43"/>
      <x:c r="B982" s="43"/>
      <x:c r="C982" s="43"/>
      <x:c r="D982" s="43" t="str">
        <x:f>IF(C982="","",YEAR(C982))</x:f>
      </x:c>
      <x:c r="E982" s="43" t="str">
        <x:f>IF(C982="","",MONTH(C982))</x:f>
      </x:c>
      <x:c r="F982" s="43" t="str">
        <x:f>IF(C982="","",WEEKNUM(C982,21))</x:f>
      </x:c>
      <x:c r="G982" s="43" t="str">
        <x:f>IF(C982="","",CHOOSE(WEEKDAY(C982,2),"Lundi","Mardi","Mercredi","Jeudi","Vendredi","Samedi","Dimanche"))</x:f>
      </x:c>
      <x:c r="H982" s="43"/>
      <x:c r="I982" s="43"/>
      <x:c r="J982" s="43"/>
      <x:c r="K982" s="43"/>
      <x:c r="L982" s="43"/>
      <x:c r="M982" s="43"/>
      <x:c r="N982" s="43"/>
      <x:c r="O982" s="43"/>
      <x:c r="P982" s="43"/>
      <x:c r="Q982" s="43"/>
      <x:c r="R982" s="43"/>
      <x:c r="S982" s="43"/>
      <x:c r="T982" s="43"/>
      <x:c r="U982" s="43"/>
      <x:c r="V982" s="43"/>
      <x:c r="W982" s="43"/>
      <x:c r="X982" s="43"/>
      <x:c r="Y982" s="43"/>
      <x:c r="Z982" s="43"/>
      <x:c r="AA982" s="43"/>
      <x:c r="AB982" s="43"/>
      <x:c r="AC982" s="43"/>
      <x:c r="AD982" s="43"/>
      <x:c r="AE982" s="43"/>
      <x:c r="AF982" s="43"/>
      <x:c r="AG982" s="67"/>
      <x:c r="AH982" s="43"/>
      <x:c r="AI982" s="43"/>
    </x:row>
    <x:row r="983">
      <x:c r="A983" s="43"/>
      <x:c r="B983" s="43"/>
      <x:c r="C983" s="43"/>
      <x:c r="D983" s="43" t="str">
        <x:f>IF(C983="","",YEAR(C983))</x:f>
      </x:c>
      <x:c r="E983" s="43" t="str">
        <x:f>IF(C983="","",MONTH(C983))</x:f>
      </x:c>
      <x:c r="F983" s="43" t="str">
        <x:f>IF(C983="","",WEEKNUM(C983,21))</x:f>
      </x:c>
      <x:c r="G983" s="43" t="str">
        <x:f>IF(C983="","",CHOOSE(WEEKDAY(C983,2),"Lundi","Mardi","Mercredi","Jeudi","Vendredi","Samedi","Dimanche"))</x:f>
      </x:c>
      <x:c r="H983" s="43"/>
      <x:c r="I983" s="43"/>
      <x:c r="J983" s="43"/>
      <x:c r="K983" s="43"/>
      <x:c r="L983" s="43"/>
      <x:c r="M983" s="43"/>
      <x:c r="N983" s="43"/>
      <x:c r="O983" s="43"/>
      <x:c r="P983" s="43"/>
      <x:c r="Q983" s="43"/>
      <x:c r="R983" s="43"/>
      <x:c r="S983" s="43"/>
      <x:c r="T983" s="43"/>
      <x:c r="U983" s="43"/>
      <x:c r="V983" s="43"/>
      <x:c r="W983" s="43"/>
      <x:c r="X983" s="43"/>
      <x:c r="Y983" s="43"/>
      <x:c r="Z983" s="43"/>
      <x:c r="AA983" s="43"/>
      <x:c r="AB983" s="43"/>
      <x:c r="AC983" s="43"/>
      <x:c r="AD983" s="43"/>
      <x:c r="AE983" s="43"/>
      <x:c r="AF983" s="43"/>
      <x:c r="AG983" s="67"/>
      <x:c r="AH983" s="43"/>
      <x:c r="AI983" s="43"/>
    </x:row>
    <x:row r="984">
      <x:c r="A984" s="43"/>
      <x:c r="B984" s="43"/>
      <x:c r="C984" s="43"/>
      <x:c r="D984" s="43" t="str">
        <x:f>IF(C984="","",YEAR(C984))</x:f>
      </x:c>
      <x:c r="E984" s="43" t="str">
        <x:f>IF(C984="","",MONTH(C984))</x:f>
      </x:c>
      <x:c r="F984" s="43" t="str">
        <x:f>IF(C984="","",WEEKNUM(C984,21))</x:f>
      </x:c>
      <x:c r="G984" s="43" t="str">
        <x:f>IF(C984="","",CHOOSE(WEEKDAY(C984,2),"Lundi","Mardi","Mercredi","Jeudi","Vendredi","Samedi","Dimanche"))</x:f>
      </x:c>
      <x:c r="H984" s="43"/>
      <x:c r="I984" s="43"/>
      <x:c r="J984" s="43"/>
      <x:c r="K984" s="43"/>
      <x:c r="L984" s="43"/>
      <x:c r="M984" s="43"/>
      <x:c r="N984" s="43"/>
      <x:c r="O984" s="43"/>
      <x:c r="P984" s="43"/>
      <x:c r="Q984" s="43"/>
      <x:c r="R984" s="43"/>
      <x:c r="S984" s="43"/>
      <x:c r="T984" s="43"/>
      <x:c r="U984" s="43"/>
      <x:c r="V984" s="43"/>
      <x:c r="W984" s="43"/>
      <x:c r="X984" s="43"/>
      <x:c r="Y984" s="43"/>
      <x:c r="Z984" s="43"/>
      <x:c r="AA984" s="43"/>
      <x:c r="AB984" s="43"/>
      <x:c r="AC984" s="43"/>
      <x:c r="AD984" s="43"/>
      <x:c r="AE984" s="43"/>
      <x:c r="AF984" s="43"/>
      <x:c r="AG984" s="67"/>
      <x:c r="AH984" s="43"/>
      <x:c r="AI984" s="43"/>
    </x:row>
    <x:row r="985">
      <x:c r="A985" s="43"/>
      <x:c r="B985" s="43"/>
      <x:c r="C985" s="43"/>
      <x:c r="D985" s="43" t="str">
        <x:f>IF(C985="","",YEAR(C985))</x:f>
      </x:c>
      <x:c r="E985" s="43" t="str">
        <x:f>IF(C985="","",MONTH(C985))</x:f>
      </x:c>
      <x:c r="F985" s="43" t="str">
        <x:f>IF(C985="","",WEEKNUM(C985,21))</x:f>
      </x:c>
      <x:c r="G985" s="43" t="str">
        <x:f>IF(C985="","",CHOOSE(WEEKDAY(C985,2),"Lundi","Mardi","Mercredi","Jeudi","Vendredi","Samedi","Dimanche"))</x:f>
      </x:c>
      <x:c r="H985" s="43"/>
      <x:c r="I985" s="43"/>
      <x:c r="J985" s="43"/>
      <x:c r="K985" s="43"/>
      <x:c r="L985" s="43"/>
      <x:c r="M985" s="43"/>
      <x:c r="N985" s="43"/>
      <x:c r="O985" s="43"/>
      <x:c r="P985" s="43"/>
      <x:c r="Q985" s="43"/>
      <x:c r="R985" s="43"/>
      <x:c r="S985" s="43"/>
      <x:c r="T985" s="43"/>
      <x:c r="U985" s="43"/>
      <x:c r="V985" s="43"/>
      <x:c r="W985" s="43"/>
      <x:c r="X985" s="43"/>
      <x:c r="Y985" s="43"/>
      <x:c r="Z985" s="43"/>
      <x:c r="AA985" s="43"/>
      <x:c r="AB985" s="43"/>
      <x:c r="AC985" s="43"/>
      <x:c r="AD985" s="43"/>
      <x:c r="AE985" s="43"/>
      <x:c r="AF985" s="43"/>
      <x:c r="AG985" s="67"/>
      <x:c r="AH985" s="43"/>
      <x:c r="AI985" s="43"/>
    </x:row>
    <x:row r="986">
      <x:c r="A986" s="43"/>
      <x:c r="B986" s="43"/>
      <x:c r="C986" s="43"/>
      <x:c r="D986" s="43" t="str">
        <x:f>IF(C986="","",YEAR(C986))</x:f>
      </x:c>
      <x:c r="E986" s="43" t="str">
        <x:f>IF(C986="","",MONTH(C986))</x:f>
      </x:c>
      <x:c r="F986" s="43" t="str">
        <x:f>IF(C986="","",WEEKNUM(C986,21))</x:f>
      </x:c>
      <x:c r="G986" s="43" t="str">
        <x:f>IF(C986="","",CHOOSE(WEEKDAY(C986,2),"Lundi","Mardi","Mercredi","Jeudi","Vendredi","Samedi","Dimanche"))</x:f>
      </x:c>
      <x:c r="H986" s="43"/>
      <x:c r="I986" s="43"/>
      <x:c r="J986" s="43"/>
      <x:c r="K986" s="43"/>
      <x:c r="L986" s="43"/>
      <x:c r="M986" s="43"/>
      <x:c r="N986" s="43"/>
      <x:c r="O986" s="43"/>
      <x:c r="P986" s="43"/>
      <x:c r="Q986" s="43"/>
      <x:c r="R986" s="43"/>
      <x:c r="S986" s="43"/>
      <x:c r="T986" s="43"/>
      <x:c r="U986" s="43"/>
      <x:c r="V986" s="43"/>
      <x:c r="W986" s="43"/>
      <x:c r="X986" s="43"/>
      <x:c r="Y986" s="43"/>
      <x:c r="Z986" s="43"/>
      <x:c r="AA986" s="43"/>
      <x:c r="AB986" s="43"/>
      <x:c r="AC986" s="43"/>
      <x:c r="AD986" s="43"/>
      <x:c r="AE986" s="43"/>
      <x:c r="AF986" s="43"/>
      <x:c r="AG986" s="67"/>
      <x:c r="AH986" s="43"/>
      <x:c r="AI986" s="43"/>
    </x:row>
    <x:row r="987">
      <x:c r="A987" s="43"/>
      <x:c r="B987" s="43"/>
      <x:c r="C987" s="43"/>
      <x:c r="D987" s="43" t="str">
        <x:f>IF(C987="","",YEAR(C987))</x:f>
      </x:c>
      <x:c r="E987" s="43" t="str">
        <x:f>IF(C987="","",MONTH(C987))</x:f>
      </x:c>
      <x:c r="F987" s="43" t="str">
        <x:f>IF(C987="","",WEEKNUM(C987,21))</x:f>
      </x:c>
      <x:c r="G987" s="43" t="str">
        <x:f>IF(C987="","",CHOOSE(WEEKDAY(C987,2),"Lundi","Mardi","Mercredi","Jeudi","Vendredi","Samedi","Dimanche"))</x:f>
      </x:c>
      <x:c r="H987" s="43"/>
      <x:c r="I987" s="43"/>
      <x:c r="J987" s="43"/>
      <x:c r="K987" s="43"/>
      <x:c r="L987" s="43"/>
      <x:c r="M987" s="43"/>
      <x:c r="N987" s="43"/>
      <x:c r="O987" s="43"/>
      <x:c r="P987" s="43"/>
      <x:c r="Q987" s="43"/>
      <x:c r="R987" s="43"/>
      <x:c r="S987" s="43"/>
      <x:c r="T987" s="43"/>
      <x:c r="U987" s="43"/>
      <x:c r="V987" s="43"/>
      <x:c r="W987" s="43"/>
      <x:c r="X987" s="43"/>
      <x:c r="Y987" s="43"/>
      <x:c r="Z987" s="43"/>
      <x:c r="AA987" s="43"/>
      <x:c r="AB987" s="43"/>
      <x:c r="AC987" s="43"/>
      <x:c r="AD987" s="43"/>
      <x:c r="AE987" s="43"/>
      <x:c r="AF987" s="43"/>
      <x:c r="AG987" s="67"/>
      <x:c r="AH987" s="43"/>
      <x:c r="AI987" s="43"/>
    </x:row>
    <x:row r="988">
      <x:c r="A988" s="43"/>
      <x:c r="B988" s="43"/>
      <x:c r="C988" s="43"/>
      <x:c r="D988" s="43" t="str">
        <x:f>IF(C988="","",YEAR(C988))</x:f>
      </x:c>
      <x:c r="E988" s="43" t="str">
        <x:f>IF(C988="","",MONTH(C988))</x:f>
      </x:c>
      <x:c r="F988" s="43" t="str">
        <x:f>IF(C988="","",WEEKNUM(C988,21))</x:f>
      </x:c>
      <x:c r="G988" s="43" t="str">
        <x:f>IF(C988="","",CHOOSE(WEEKDAY(C988,2),"Lundi","Mardi","Mercredi","Jeudi","Vendredi","Samedi","Dimanche"))</x:f>
      </x:c>
      <x:c r="H988" s="43"/>
      <x:c r="I988" s="43"/>
      <x:c r="J988" s="43"/>
      <x:c r="K988" s="43"/>
      <x:c r="L988" s="43"/>
      <x:c r="M988" s="43"/>
      <x:c r="N988" s="43"/>
      <x:c r="O988" s="43"/>
      <x:c r="P988" s="43"/>
      <x:c r="Q988" s="43"/>
      <x:c r="R988" s="43"/>
      <x:c r="S988" s="43"/>
      <x:c r="T988" s="43"/>
      <x:c r="U988" s="43"/>
      <x:c r="V988" s="43"/>
      <x:c r="W988" s="43"/>
      <x:c r="X988" s="43"/>
      <x:c r="Y988" s="43"/>
      <x:c r="Z988" s="43"/>
      <x:c r="AA988" s="43"/>
      <x:c r="AB988" s="43"/>
      <x:c r="AC988" s="43"/>
      <x:c r="AD988" s="43"/>
      <x:c r="AE988" s="43"/>
      <x:c r="AF988" s="43"/>
      <x:c r="AG988" s="67"/>
      <x:c r="AH988" s="43"/>
      <x:c r="AI988" s="43"/>
    </x:row>
    <x:row r="989">
      <x:c r="A989" s="43"/>
      <x:c r="B989" s="43"/>
      <x:c r="C989" s="43"/>
      <x:c r="D989" s="43" t="str">
        <x:f>IF(C989="","",YEAR(C989))</x:f>
      </x:c>
      <x:c r="E989" s="43" t="str">
        <x:f>IF(C989="","",MONTH(C989))</x:f>
      </x:c>
      <x:c r="F989" s="43" t="str">
        <x:f>IF(C989="","",WEEKNUM(C989,21))</x:f>
      </x:c>
      <x:c r="G989" s="43" t="str">
        <x:f>IF(C989="","",CHOOSE(WEEKDAY(C989,2),"Lundi","Mardi","Mercredi","Jeudi","Vendredi","Samedi","Dimanche"))</x:f>
      </x:c>
      <x:c r="H989" s="43"/>
      <x:c r="I989" s="43"/>
      <x:c r="J989" s="43"/>
      <x:c r="K989" s="43"/>
      <x:c r="L989" s="43"/>
      <x:c r="M989" s="43"/>
      <x:c r="N989" s="43"/>
      <x:c r="O989" s="43"/>
      <x:c r="P989" s="43"/>
      <x:c r="Q989" s="43"/>
      <x:c r="R989" s="43"/>
      <x:c r="S989" s="43"/>
      <x:c r="T989" s="43"/>
      <x:c r="U989" s="43"/>
      <x:c r="V989" s="43"/>
      <x:c r="W989" s="43"/>
      <x:c r="X989" s="43"/>
      <x:c r="Y989" s="43"/>
      <x:c r="Z989" s="43"/>
      <x:c r="AA989" s="43"/>
      <x:c r="AB989" s="43"/>
      <x:c r="AC989" s="43"/>
      <x:c r="AD989" s="43"/>
      <x:c r="AE989" s="43"/>
      <x:c r="AF989" s="43"/>
      <x:c r="AG989" s="67"/>
      <x:c r="AH989" s="43"/>
      <x:c r="AI989" s="43"/>
    </x:row>
    <x:row r="990">
      <x:c r="A990" s="43"/>
      <x:c r="B990" s="43"/>
      <x:c r="C990" s="43"/>
      <x:c r="D990" s="43" t="str">
        <x:f>IF(C990="","",YEAR(C990))</x:f>
      </x:c>
      <x:c r="E990" s="43" t="str">
        <x:f>IF(C990="","",MONTH(C990))</x:f>
      </x:c>
      <x:c r="F990" s="43" t="str">
        <x:f>IF(C990="","",WEEKNUM(C990,21))</x:f>
      </x:c>
      <x:c r="G990" s="43" t="str">
        <x:f>IF(C990="","",CHOOSE(WEEKDAY(C990,2),"Lundi","Mardi","Mercredi","Jeudi","Vendredi","Samedi","Dimanche"))</x:f>
      </x:c>
      <x:c r="H990" s="43"/>
      <x:c r="I990" s="43"/>
      <x:c r="J990" s="43"/>
      <x:c r="K990" s="43"/>
      <x:c r="L990" s="43"/>
      <x:c r="M990" s="43"/>
      <x:c r="N990" s="43"/>
      <x:c r="O990" s="43"/>
      <x:c r="P990" s="43"/>
      <x:c r="Q990" s="43"/>
      <x:c r="R990" s="43"/>
      <x:c r="S990" s="43"/>
      <x:c r="T990" s="43"/>
      <x:c r="U990" s="43"/>
      <x:c r="V990" s="43"/>
      <x:c r="W990" s="43"/>
      <x:c r="X990" s="43"/>
      <x:c r="Y990" s="43"/>
      <x:c r="Z990" s="43"/>
      <x:c r="AA990" s="43"/>
      <x:c r="AB990" s="43"/>
      <x:c r="AC990" s="43"/>
      <x:c r="AD990" s="43"/>
      <x:c r="AE990" s="43"/>
      <x:c r="AF990" s="43"/>
      <x:c r="AG990" s="67"/>
      <x:c r="AH990" s="43"/>
      <x:c r="AI990" s="43"/>
    </x:row>
    <x:row r="991">
      <x:c r="A991" s="43"/>
      <x:c r="B991" s="43"/>
      <x:c r="C991" s="43"/>
      <x:c r="D991" s="43" t="str">
        <x:f>IF(C991="","",YEAR(C991))</x:f>
      </x:c>
      <x:c r="E991" s="43" t="str">
        <x:f>IF(C991="","",MONTH(C991))</x:f>
      </x:c>
      <x:c r="F991" s="43" t="str">
        <x:f>IF(C991="","",WEEKNUM(C991,21))</x:f>
      </x:c>
      <x:c r="G991" s="43" t="str">
        <x:f>IF(C991="","",CHOOSE(WEEKDAY(C991,2),"Lundi","Mardi","Mercredi","Jeudi","Vendredi","Samedi","Dimanche"))</x:f>
      </x:c>
      <x:c r="H991" s="43"/>
      <x:c r="I991" s="43"/>
      <x:c r="J991" s="43"/>
      <x:c r="K991" s="43"/>
      <x:c r="L991" s="43"/>
      <x:c r="M991" s="43"/>
      <x:c r="N991" s="43"/>
      <x:c r="O991" s="43"/>
      <x:c r="P991" s="43"/>
      <x:c r="Q991" s="43"/>
      <x:c r="R991" s="43"/>
      <x:c r="S991" s="43"/>
      <x:c r="T991" s="43"/>
      <x:c r="U991" s="43"/>
      <x:c r="V991" s="43"/>
      <x:c r="W991" s="43"/>
      <x:c r="X991" s="43"/>
      <x:c r="Y991" s="43"/>
      <x:c r="Z991" s="43"/>
      <x:c r="AA991" s="43"/>
      <x:c r="AB991" s="43"/>
      <x:c r="AC991" s="43"/>
      <x:c r="AD991" s="43"/>
      <x:c r="AE991" s="43"/>
      <x:c r="AF991" s="43"/>
      <x:c r="AG991" s="67"/>
      <x:c r="AH991" s="43"/>
      <x:c r="AI991" s="43"/>
    </x:row>
    <x:row r="992">
      <x:c r="A992" s="43"/>
      <x:c r="B992" s="43"/>
      <x:c r="C992" s="43"/>
      <x:c r="D992" s="43" t="str">
        <x:f>IF(C992="","",YEAR(C992))</x:f>
      </x:c>
      <x:c r="E992" s="43" t="str">
        <x:f>IF(C992="","",MONTH(C992))</x:f>
      </x:c>
      <x:c r="F992" s="43" t="str">
        <x:f>IF(C992="","",WEEKNUM(C992,21))</x:f>
      </x:c>
      <x:c r="G992" s="43" t="str">
        <x:f>IF(C992="","",CHOOSE(WEEKDAY(C992,2),"Lundi","Mardi","Mercredi","Jeudi","Vendredi","Samedi","Dimanche"))</x:f>
      </x:c>
      <x:c r="H992" s="43"/>
      <x:c r="I992" s="43"/>
      <x:c r="J992" s="43"/>
      <x:c r="K992" s="43"/>
      <x:c r="L992" s="43"/>
      <x:c r="M992" s="43"/>
      <x:c r="N992" s="43"/>
      <x:c r="O992" s="43"/>
      <x:c r="P992" s="43"/>
      <x:c r="Q992" s="43"/>
      <x:c r="R992" s="43"/>
      <x:c r="S992" s="43"/>
      <x:c r="T992" s="43"/>
      <x:c r="U992" s="43"/>
      <x:c r="V992" s="43"/>
      <x:c r="W992" s="43"/>
      <x:c r="X992" s="43"/>
      <x:c r="Y992" s="43"/>
      <x:c r="Z992" s="43"/>
      <x:c r="AA992" s="43"/>
      <x:c r="AB992" s="43"/>
      <x:c r="AC992" s="43"/>
      <x:c r="AD992" s="43"/>
      <x:c r="AE992" s="43"/>
      <x:c r="AF992" s="43"/>
      <x:c r="AG992" s="67"/>
      <x:c r="AH992" s="43"/>
      <x:c r="AI992" s="43"/>
    </x:row>
    <x:row r="993">
      <x:c r="A993" s="43"/>
      <x:c r="B993" s="43"/>
      <x:c r="C993" s="43"/>
      <x:c r="D993" s="43" t="str">
        <x:f>IF(C993="","",YEAR(C993))</x:f>
      </x:c>
      <x:c r="E993" s="43" t="str">
        <x:f>IF(C993="","",MONTH(C993))</x:f>
      </x:c>
      <x:c r="F993" s="43" t="str">
        <x:f>IF(C993="","",WEEKNUM(C993,21))</x:f>
      </x:c>
      <x:c r="G993" s="43" t="str">
        <x:f>IF(C993="","",CHOOSE(WEEKDAY(C993,2),"Lundi","Mardi","Mercredi","Jeudi","Vendredi","Samedi","Dimanche"))</x:f>
      </x:c>
      <x:c r="H993" s="43"/>
      <x:c r="I993" s="43"/>
      <x:c r="J993" s="43"/>
      <x:c r="K993" s="43"/>
      <x:c r="L993" s="43"/>
      <x:c r="M993" s="43"/>
      <x:c r="N993" s="43"/>
      <x:c r="O993" s="43"/>
      <x:c r="P993" s="43"/>
      <x:c r="Q993" s="43"/>
      <x:c r="R993" s="43"/>
      <x:c r="S993" s="43"/>
      <x:c r="T993" s="43"/>
      <x:c r="U993" s="43"/>
      <x:c r="V993" s="43"/>
      <x:c r="W993" s="43"/>
      <x:c r="X993" s="43"/>
      <x:c r="Y993" s="43"/>
      <x:c r="Z993" s="43"/>
      <x:c r="AA993" s="43"/>
      <x:c r="AB993" s="43"/>
      <x:c r="AC993" s="43"/>
      <x:c r="AD993" s="43"/>
      <x:c r="AE993" s="43"/>
      <x:c r="AF993" s="43"/>
      <x:c r="AG993" s="67"/>
      <x:c r="AH993" s="43"/>
      <x:c r="AI993" s="43"/>
    </x:row>
    <x:row r="994">
      <x:c r="A994" s="43"/>
      <x:c r="B994" s="43"/>
      <x:c r="C994" s="43"/>
      <x:c r="D994" s="43" t="str">
        <x:f>IF(C994="","",YEAR(C994))</x:f>
      </x:c>
      <x:c r="E994" s="43" t="str">
        <x:f>IF(C994="","",MONTH(C994))</x:f>
      </x:c>
      <x:c r="F994" s="43" t="str">
        <x:f>IF(C994="","",WEEKNUM(C994,21))</x:f>
      </x:c>
      <x:c r="G994" s="43" t="str">
        <x:f>IF(C994="","",CHOOSE(WEEKDAY(C994,2),"Lundi","Mardi","Mercredi","Jeudi","Vendredi","Samedi","Dimanche"))</x:f>
      </x:c>
      <x:c r="H994" s="43"/>
      <x:c r="I994" s="43"/>
      <x:c r="J994" s="43"/>
      <x:c r="K994" s="43"/>
      <x:c r="L994" s="43"/>
      <x:c r="M994" s="43"/>
      <x:c r="N994" s="43"/>
      <x:c r="O994" s="43"/>
      <x:c r="P994" s="43"/>
      <x:c r="Q994" s="43"/>
      <x:c r="R994" s="43"/>
      <x:c r="S994" s="43"/>
      <x:c r="T994" s="43"/>
      <x:c r="U994" s="43"/>
      <x:c r="V994" s="43"/>
      <x:c r="W994" s="43"/>
      <x:c r="X994" s="43"/>
      <x:c r="Y994" s="43"/>
      <x:c r="Z994" s="43"/>
      <x:c r="AA994" s="43"/>
      <x:c r="AB994" s="43"/>
      <x:c r="AC994" s="43"/>
      <x:c r="AD994" s="43"/>
      <x:c r="AE994" s="43"/>
      <x:c r="AF994" s="43"/>
      <x:c r="AG994" s="67"/>
      <x:c r="AH994" s="43"/>
      <x:c r="AI994" s="43"/>
    </x:row>
    <x:row r="995">
      <x:c r="A995" s="43"/>
      <x:c r="B995" s="43"/>
      <x:c r="C995" s="43"/>
      <x:c r="D995" s="43" t="str">
        <x:f>IF(C995="","",YEAR(C995))</x:f>
      </x:c>
      <x:c r="E995" s="43" t="str">
        <x:f>IF(C995="","",MONTH(C995))</x:f>
      </x:c>
      <x:c r="F995" s="43" t="str">
        <x:f>IF(C995="","",WEEKNUM(C995,21))</x:f>
      </x:c>
      <x:c r="G995" s="43" t="str">
        <x:f>IF(C995="","",CHOOSE(WEEKDAY(C995,2),"Lundi","Mardi","Mercredi","Jeudi","Vendredi","Samedi","Dimanche"))</x:f>
      </x:c>
      <x:c r="H995" s="43"/>
      <x:c r="I995" s="43"/>
      <x:c r="J995" s="43"/>
      <x:c r="K995" s="43"/>
      <x:c r="L995" s="43"/>
      <x:c r="M995" s="43"/>
      <x:c r="N995" s="43"/>
      <x:c r="O995" s="43"/>
      <x:c r="P995" s="43"/>
      <x:c r="Q995" s="43"/>
      <x:c r="R995" s="43"/>
      <x:c r="S995" s="43"/>
      <x:c r="T995" s="43"/>
      <x:c r="U995" s="43"/>
      <x:c r="V995" s="43"/>
      <x:c r="W995" s="43"/>
      <x:c r="X995" s="43"/>
      <x:c r="Y995" s="43"/>
      <x:c r="Z995" s="43"/>
      <x:c r="AA995" s="43"/>
      <x:c r="AB995" s="43"/>
      <x:c r="AC995" s="43"/>
      <x:c r="AD995" s="43"/>
      <x:c r="AE995" s="43"/>
      <x:c r="AF995" s="43"/>
      <x:c r="AG995" s="67"/>
      <x:c r="AH995" s="43"/>
      <x:c r="AI995" s="43"/>
    </x:row>
    <x:row r="996">
      <x:c r="A996" s="43"/>
      <x:c r="B996" s="43"/>
      <x:c r="C996" s="43"/>
      <x:c r="D996" s="43" t="str">
        <x:f>IF(C996="","",YEAR(C996))</x:f>
      </x:c>
      <x:c r="E996" s="43" t="str">
        <x:f>IF(C996="","",MONTH(C996))</x:f>
      </x:c>
      <x:c r="F996" s="43" t="str">
        <x:f>IF(C996="","",WEEKNUM(C996,21))</x:f>
      </x:c>
      <x:c r="G996" s="43" t="str">
        <x:f>IF(C996="","",CHOOSE(WEEKDAY(C996,2),"Lundi","Mardi","Mercredi","Jeudi","Vendredi","Samedi","Dimanche"))</x:f>
      </x:c>
      <x:c r="H996" s="43"/>
      <x:c r="I996" s="43"/>
      <x:c r="J996" s="43"/>
      <x:c r="K996" s="43"/>
      <x:c r="L996" s="43"/>
      <x:c r="M996" s="43"/>
      <x:c r="N996" s="43"/>
      <x:c r="O996" s="43"/>
      <x:c r="P996" s="43"/>
      <x:c r="Q996" s="43"/>
      <x:c r="R996" s="43"/>
      <x:c r="S996" s="43"/>
      <x:c r="T996" s="43"/>
      <x:c r="U996" s="43"/>
      <x:c r="V996" s="43"/>
      <x:c r="W996" s="43"/>
      <x:c r="X996" s="43"/>
      <x:c r="Y996" s="43"/>
      <x:c r="Z996" s="43"/>
      <x:c r="AA996" s="43"/>
      <x:c r="AB996" s="43"/>
      <x:c r="AC996" s="43"/>
      <x:c r="AD996" s="43"/>
      <x:c r="AE996" s="43"/>
      <x:c r="AF996" s="43"/>
      <x:c r="AG996" s="67"/>
      <x:c r="AH996" s="43"/>
      <x:c r="AI996" s="43"/>
    </x:row>
    <x:row r="997">
      <x:c r="A997" s="43"/>
      <x:c r="B997" s="43"/>
      <x:c r="C997" s="43"/>
      <x:c r="D997" s="43" t="str">
        <x:f>IF(C997="","",YEAR(C997))</x:f>
      </x:c>
      <x:c r="E997" s="43" t="str">
        <x:f>IF(C997="","",MONTH(C997))</x:f>
      </x:c>
      <x:c r="F997" s="43" t="str">
        <x:f>IF(C997="","",WEEKNUM(C997,21))</x:f>
      </x:c>
      <x:c r="G997" s="43" t="str">
        <x:f>IF(C997="","",CHOOSE(WEEKDAY(C997,2),"Lundi","Mardi","Mercredi","Jeudi","Vendredi","Samedi","Dimanche"))</x:f>
      </x:c>
      <x:c r="H997" s="43"/>
      <x:c r="I997" s="43"/>
      <x:c r="J997" s="43"/>
      <x:c r="K997" s="43"/>
      <x:c r="L997" s="43"/>
      <x:c r="M997" s="43"/>
      <x:c r="N997" s="43"/>
      <x:c r="O997" s="43"/>
      <x:c r="P997" s="43"/>
      <x:c r="Q997" s="43"/>
      <x:c r="R997" s="43"/>
      <x:c r="S997" s="43"/>
      <x:c r="T997" s="43"/>
      <x:c r="U997" s="43"/>
      <x:c r="V997" s="43"/>
      <x:c r="W997" s="43"/>
      <x:c r="X997" s="43"/>
      <x:c r="Y997" s="43"/>
      <x:c r="Z997" s="43"/>
      <x:c r="AA997" s="43"/>
      <x:c r="AB997" s="43"/>
      <x:c r="AC997" s="43"/>
      <x:c r="AD997" s="43"/>
      <x:c r="AE997" s="43"/>
      <x:c r="AF997" s="43"/>
      <x:c r="AG997" s="67"/>
      <x:c r="AH997" s="43"/>
      <x:c r="AI997" s="43"/>
    </x:row>
    <x:row r="998">
      <x:c r="A998" s="43"/>
      <x:c r="B998" s="43"/>
      <x:c r="C998" s="43"/>
      <x:c r="D998" s="43" t="str">
        <x:f>IF(C998="","",YEAR(C998))</x:f>
      </x:c>
      <x:c r="E998" s="43" t="str">
        <x:f>IF(C998="","",MONTH(C998))</x:f>
      </x:c>
      <x:c r="F998" s="43" t="str">
        <x:f>IF(C998="","",WEEKNUM(C998,21))</x:f>
      </x:c>
      <x:c r="G998" s="43" t="str">
        <x:f>IF(C998="","",CHOOSE(WEEKDAY(C998,2),"Lundi","Mardi","Mercredi","Jeudi","Vendredi","Samedi","Dimanche"))</x:f>
      </x:c>
      <x:c r="H998" s="43"/>
      <x:c r="I998" s="43"/>
      <x:c r="J998" s="43"/>
      <x:c r="K998" s="43"/>
      <x:c r="L998" s="43"/>
      <x:c r="M998" s="43"/>
      <x:c r="N998" s="43"/>
      <x:c r="O998" s="43"/>
      <x:c r="P998" s="43"/>
      <x:c r="Q998" s="43"/>
      <x:c r="R998" s="43"/>
      <x:c r="S998" s="43"/>
      <x:c r="T998" s="43"/>
      <x:c r="U998" s="43"/>
      <x:c r="V998" s="43"/>
      <x:c r="W998" s="43"/>
      <x:c r="X998" s="43"/>
      <x:c r="Y998" s="43"/>
      <x:c r="Z998" s="43"/>
      <x:c r="AA998" s="43"/>
      <x:c r="AB998" s="43"/>
      <x:c r="AC998" s="43"/>
      <x:c r="AD998" s="43"/>
      <x:c r="AE998" s="43"/>
      <x:c r="AF998" s="43"/>
      <x:c r="AG998" s="67"/>
      <x:c r="AH998" s="43"/>
      <x:c r="AI998" s="43"/>
    </x:row>
    <x:row r="999">
      <x:c r="A999" s="43"/>
      <x:c r="B999" s="43"/>
      <x:c r="C999" s="43"/>
      <x:c r="D999" s="43" t="str">
        <x:f>IF(C999="","",YEAR(C999))</x:f>
      </x:c>
      <x:c r="E999" s="43" t="str">
        <x:f>IF(C999="","",MONTH(C999))</x:f>
      </x:c>
      <x:c r="F999" s="43" t="str">
        <x:f>IF(C999="","",WEEKNUM(C999,21))</x:f>
      </x:c>
      <x:c r="G999" s="43" t="str">
        <x:f>IF(C999="","",CHOOSE(WEEKDAY(C999,2),"Lundi","Mardi","Mercredi","Jeudi","Vendredi","Samedi","Dimanche"))</x:f>
      </x:c>
      <x:c r="H999" s="43"/>
      <x:c r="I999" s="43"/>
      <x:c r="J999" s="43"/>
      <x:c r="K999" s="43"/>
      <x:c r="L999" s="43"/>
      <x:c r="M999" s="43"/>
      <x:c r="N999" s="43"/>
      <x:c r="O999" s="43"/>
      <x:c r="P999" s="43"/>
      <x:c r="Q999" s="43"/>
      <x:c r="R999" s="43"/>
      <x:c r="S999" s="43"/>
      <x:c r="T999" s="43"/>
      <x:c r="U999" s="43"/>
      <x:c r="V999" s="43"/>
      <x:c r="W999" s="43"/>
      <x:c r="X999" s="43"/>
      <x:c r="Y999" s="43"/>
      <x:c r="Z999" s="43"/>
      <x:c r="AA999" s="43"/>
      <x:c r="AB999" s="43"/>
      <x:c r="AC999" s="43"/>
      <x:c r="AD999" s="43"/>
      <x:c r="AE999" s="43"/>
      <x:c r="AF999" s="43"/>
      <x:c r="AG999" s="67"/>
      <x:c r="AH999" s="43"/>
      <x:c r="AI999" s="43"/>
    </x:row>
    <x:row r="1000">
      <x:c r="A1000" s="43"/>
      <x:c r="B1000" s="43"/>
      <x:c r="C1000" s="43"/>
      <x:c r="D1000" s="43" t="str">
        <x:f>IF(C1000="","",YEAR(C1000))</x:f>
      </x:c>
      <x:c r="E1000" s="43" t="str">
        <x:f>IF(C1000="","",MONTH(C1000))</x:f>
      </x:c>
      <x:c r="F1000" s="43" t="str">
        <x:f>IF(C1000="","",WEEKNUM(C1000,21))</x:f>
      </x:c>
      <x:c r="G1000" s="43" t="str">
        <x:f>IF(C1000="","",CHOOSE(WEEKDAY(C1000,2),"Lundi","Mardi","Mercredi","Jeudi","Vendredi","Samedi","Dimanche"))</x:f>
      </x:c>
      <x:c r="H1000" s="43"/>
      <x:c r="I1000" s="43"/>
      <x:c r="J1000" s="43"/>
      <x:c r="K1000" s="43"/>
      <x:c r="L1000" s="43"/>
      <x:c r="M1000" s="43"/>
      <x:c r="N1000" s="43"/>
      <x:c r="O1000" s="43"/>
      <x:c r="P1000" s="43"/>
      <x:c r="Q1000" s="43"/>
      <x:c r="R1000" s="43"/>
      <x:c r="S1000" s="43"/>
      <x:c r="T1000" s="43"/>
      <x:c r="U1000" s="43"/>
      <x:c r="V1000" s="43"/>
      <x:c r="W1000" s="43"/>
      <x:c r="X1000" s="43"/>
      <x:c r="Y1000" s="43"/>
      <x:c r="Z1000" s="43"/>
      <x:c r="AA1000" s="43"/>
      <x:c r="AB1000" s="43"/>
      <x:c r="AC1000" s="43"/>
      <x:c r="AD1000" s="43"/>
      <x:c r="AE1000" s="43"/>
      <x:c r="AF1000" s="43"/>
      <x:c r="AG1000" s="67"/>
      <x:c r="AH1000" s="43"/>
      <x:c r="AI1000" s="43"/>
    </x:row>
  </x:sheetData>
  <x:mergeCells>
    <x:mergeCell ref="A1:AI1"/>
    <x:mergeCell ref="A2:AI2"/>
  </x:mergeCells>
  <x:conditionalFormatting sqref="A4:AI1000">
    <x:cfRule type="expression" dxfId="6" priority="1">
      <x:formula>$J4="Presque-accident"</x:formula>
    </x:cfRule>
  </x:conditionalFormatting>
  <x:conditionalFormatting sqref="J4:J1000">
    <x:cfRule type="expression" dxfId="7" priority="2">
      <x:formula>$J4="Presque-accident"</x:formula>
    </x:cfRule>
    <x:cfRule type="expression" dxfId="8" priority="3">
      <x:formula>$J4="Premiers secours"</x:formula>
    </x:cfRule>
    <x:cfRule type="expression" dxfId="9" priority="4">
      <x:formula>$J4="Traitement médical"</x:formula>
    </x:cfRule>
    <x:cfRule type="expression" dxfId="10" priority="5">
      <x:formula>$J4="Arrêt de travail"</x:formula>
    </x:cfRule>
    <x:cfRule type="expression" dxfId="11" priority="6">
      <x:formula>$J4="Décès"</x:formula>
    </x:cfRule>
  </x:conditionalFormatting>
  <x:dataValidations count="18">
    <x:dataValidation type="list" sqref="J4:J1000">
      <x:formula1>Register_A_Choices</x:formula1>
    </x:dataValidation>
    <x:dataValidation type="list" sqref="I4:I1000">
      <x:formula1>Register_B_Choices</x:formula1>
    </x:dataValidation>
    <x:dataValidation type="list" sqref="T4:T1000">
      <x:formula1>Register_C_Choices</x:formula1>
    </x:dataValidation>
    <x:dataValidation type="list" sqref="U4:U1000">
      <x:formula1>Register_D_Choices</x:formula1>
    </x:dataValidation>
    <x:dataValidation type="list" sqref="V4:V1000">
      <x:formula1>Register_E_Choices</x:formula1>
    </x:dataValidation>
    <x:dataValidation type="list" sqref="AA4:AA1000">
      <x:formula1>Register_F_Choices</x:formula1>
    </x:dataValidation>
    <x:dataValidation type="list" sqref="AC4:AC1000">
      <x:formula1>Register_G_Choices</x:formula1>
    </x:dataValidation>
    <x:dataValidation type="list" sqref="S4:S1000">
      <x:formula1>Register_H_Choices</x:formula1>
    </x:dataValidation>
    <x:dataValidation type="list" sqref="P4:P1000">
      <x:formula1>Register_I_Choices</x:formula1>
    </x:dataValidation>
    <x:dataValidation type="list" sqref="W4:W1000">
      <x:formula1>Register_J_Choices</x:formula1>
    </x:dataValidation>
    <x:dataValidation type="list" sqref="X4:X1000">
      <x:formula1>Register_K_Choices</x:formula1>
    </x:dataValidation>
    <x:dataValidation type="list" sqref="AE4:AE1000">
      <x:formula1>Register_L_Choices</x:formula1>
    </x:dataValidation>
    <x:dataValidation type="list" sqref="AH4:AH1000">
      <x:formula1>Register_M_Choices</x:formula1>
    </x:dataValidation>
    <x:dataValidation type="list" sqref="K4:K1000">
      <x:formula1>Register_N_Choices</x:formula1>
    </x:dataValidation>
    <x:dataValidation type="list" sqref="Y4:Y1000">
      <x:formula1>Register_O_Choices</x:formula1>
    </x:dataValidation>
    <x:dataValidation type="list" sqref="M4:M1000">
      <x:formula1>Register_P_Choices</x:formula1>
    </x:dataValidation>
    <x:dataValidation type="whole" operator="greaterThanOrEqual" sqref="R4:R1000">
      <x:formula1>0</x:formula1>
    </x:dataValidation>
    <x:dataValidation type="whole" operator="greaterThanOrEqual" sqref="L4:L1000">
      <x:formula1>0</x:formula1>
    </x:dataValidation>
  </x:dataValidation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3.xml><?xml version="1.0" encoding="utf-8"?>
<x:worksheet xmlns:x="http://schemas.openxmlformats.org/spreadsheetml/2006/main">
  <x:sheetPr>
    <x:tabColor rgb="FF595959"/>
    <x:pageSetUpPr fitToPage="false"/>
  </x:sheetPr>
  <x:sheetViews>
    <x:sheetView showGridLines="1" workbookViewId="0"/>
  </x:sheetViews>
  <x:sheetFormatPr defaultColWidth="8.6796875" defaultRowHeight="15"/>
  <x:cols>
    <x:col min="1" max="1" width="21" style="1" hidden="0" customWidth="1"/>
    <x:col min="2" max="2" width="18" style="1" hidden="0" customWidth="1"/>
    <x:col min="3" max="3" width="49" style="1" hidden="0" customWidth="1"/>
    <x:col min="4" max="4" width="20" style="1" hidden="0" customWidth="1"/>
    <x:col min="5" max="5" width="22" style="1" hidden="0" customWidth="1"/>
    <x:col min="6" max="6" width="48" style="1" hidden="0" customWidth="1"/>
    <x:col min="7" max="7" width="32" style="1" hidden="0" customWidth="1"/>
    <x:col min="8" max="8" width="17" style="1" hidden="0" customWidth="1"/>
    <x:col min="9" max="10" width="5" style="1" hidden="0" customWidth="1"/>
    <x:col min="11" max="11" width="18" style="1" hidden="0" customWidth="1"/>
    <x:col min="12" max="13" width="15" style="1" hidden="0" customWidth="1"/>
    <x:col min="14" max="14" width="18" style="1" hidden="0" customWidth="1"/>
    <x:col min="15" max="15" width="34" style="1" hidden="0" customWidth="1"/>
    <x:col min="16" max="16" width="34" style="1" hidden="0" customWidth="1"/>
    <x:col min="9" max="9" width="18" hidden="0" customWidth="1"/>
    <x:col min="10" max="10" width="18" hidden="0" customWidth="1"/>
    <x:col min="12" max="12" width="18" hidden="0" customWidth="1"/>
    <x:col min="13" max="13" width="18" hidden="0" customWidth="1"/>
  </x:cols>
  <x:sheetData>
    <x:row r="1" ht="24" hidden="0" customHeight="1">
      <x:c r="A1" s="23" t="str">
        <x:v>Listes de choix : utiliser ces valeurs de manière cohérente dans la saisie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</x:row>
    <x:row r="2" ht="56" hidden="0" customHeight="1">
      <x:c r="A2" s="74" t="str">
        <x:v>Gravité</x:v>
      </x:c>
      <x:c r="B2" s="74" t="str">
        <x:v>Équipe / horaire</x:v>
      </x:c>
      <x:c r="C2" s="74" t="str">
        <x:v>Type d’événement</x:v>
      </x:c>
      <x:c r="D2" s="74" t="str">
        <x:v>Partie du corps</x:v>
      </x:c>
      <x:c r="E2" s="74" t="str">
        <x:v>Type de lésion</x:v>
      </x:c>
      <x:c r="F2" s="74" t="str">
        <x:v>Cause profonde (catégorie)</x:v>
      </x:c>
      <x:c r="G2" s="74" t="str">
        <x:v>Mesure de protection absente ou défaillante</x:v>
      </x:c>
      <x:c r="H2" s="74" t="str">
        <x:v>Type de travail</x:v>
      </x:c>
      <x:c r="I2" s="74" t="str">
        <x:v>Entreprise externe</x:v>
      </x:c>
      <x:c r="J2" s="74" t="str">
        <x:v>EPI requis</x:v>
      </x:c>
      <x:c r="K2" s="74" t="str">
        <x:v>EPI porté</x:v>
      </x:c>
      <x:c r="L2" s="74" t="str">
        <x:v>Analyse d’événement réalisée</x:v>
      </x:c>
      <x:c r="M2" s="74" t="str">
        <x:v>Mesure clôturée</x:v>
      </x:c>
      <x:c r="N2" s="74" t="str">
        <x:v>À déclarer (LAA)</x:v>
      </x:c>
      <x:c r="O2" s="74" t="str">
        <x:v>Processus</x:v>
      </x:c>
      <x:c r="P2" s="74" t="str">
        <x:v>Service</x:v>
      </x:c>
    </x:row>
    <x:row r="3" ht="34" hidden="0" customHeight="1">
      <x:c r="A3" s="93" t="str">
        <x:v>Presque-accident</x:v>
      </x:c>
      <x:c r="B3" s="93" t="str">
        <x:v>Matin</x:v>
      </x:c>
      <x:c r="C3" s="93" t="str">
        <x:v>Heurté par un objet en mouvement</x:v>
      </x:c>
      <x:c r="D3" s="93" t="str">
        <x:v>Tête</x:v>
      </x:c>
      <x:c r="E3" s="93" t="str">
        <x:v>Presque-accident</x:v>
      </x:c>
      <x:c r="F3" s="93" t="str">
        <x:v>Procédure non respectée</x:v>
      </x:c>
      <x:c r="G3" s="93" t="str">
        <x:v>Aucune mesure de protection</x:v>
      </x:c>
      <x:c r="H3" s="93" t="str">
        <x:v>Travail courant</x:v>
      </x:c>
      <x:c r="I3" s="93" t="str">
        <x:v>Oui</x:v>
      </x:c>
      <x:c r="J3" s="93" t="str">
        <x:v>Oui</x:v>
      </x:c>
      <x:c r="K3" s="93" t="str">
        <x:v>Oui</x:v>
      </x:c>
      <x:c r="L3" s="93" t="str">
        <x:v>Oui</x:v>
      </x:c>
      <x:c r="M3" s="93" t="str">
        <x:v>Oui</x:v>
      </x:c>
      <x:c r="N3" s="93" t="str">
        <x:v>Oui</x:v>
      </x:c>
      <x:c r="O3" s="93" t="str">
        <x:v>Assemblage</x:v>
      </x:c>
      <x:c r="P3" s="93" t="str">
        <x:v>Production</x:v>
      </x:c>
    </x:row>
    <x:row r="4" ht="34" hidden="0" customHeight="1">
      <x:c r="A4" s="94" t="str">
        <x:v>Premiers secours</x:v>
      </x:c>
      <x:c r="B4" s="94" t="str">
        <x:v>Après-midi</x:v>
      </x:c>
      <x:c r="C4" s="94" t="str">
        <x:v>Heurté par un objet qui tombe</x:v>
      </x:c>
      <x:c r="D4" s="94" t="str">
        <x:v>Visage/Tête</x:v>
      </x:c>
      <x:c r="E4" s="94" t="str">
        <x:v>Plaie lacérée</x:v>
      </x:c>
      <x:c r="F4" s="94" t="str">
        <x:v>Absence de procédure</x:v>
      </x:c>
      <x:c r="G4" s="94" t="str">
        <x:v>Contournée</x:v>
      </x:c>
      <x:c r="H4" s="94" t="str">
        <x:v>Travail non courant</x:v>
      </x:c>
      <x:c r="I4" s="94" t="str">
        <x:v>Non</x:v>
      </x:c>
      <x:c r="J4" s="94" t="str">
        <x:v>Non</x:v>
      </x:c>
      <x:c r="K4" s="94" t="str">
        <x:v>Non</x:v>
      </x:c>
      <x:c r="L4" s="94" t="str">
        <x:v>Non</x:v>
      </x:c>
      <x:c r="M4" s="94" t="str">
        <x:v>Non</x:v>
      </x:c>
      <x:c r="N4" s="94" t="str">
        <x:v>Non</x:v>
      </x:c>
      <x:c r="O4" s="94" t="str">
        <x:v>CNC / usinage</x:v>
      </x:c>
      <x:c r="P4" s="94" t="str">
        <x:v>Maintenance</x:v>
      </x:c>
    </x:row>
    <x:row r="5" ht="34" hidden="0" customHeight="1">
      <x:c r="A5" s="93" t="str">
        <x:v>Traitement médical</x:v>
      </x:c>
      <x:c r="B5" s="93" t="str">
        <x:v>Nuit</x:v>
      </x:c>
      <x:c r="C5" s="93" t="str">
        <x:v>Heurté par un projectile</x:v>
      </x:c>
      <x:c r="D5" s="93" t="str">
        <x:v>Yeux</x:v>
      </x:c>
      <x:c r="E5" s="93" t="str">
        <x:v>Éraflure</x:v>
      </x:c>
      <x:c r="F5" s="93" t="str">
        <x:v>Procédure inadéquate</x:v>
      </x:c>
      <x:c r="G5" s="93" t="str">
        <x:v>Insuffisante</x:v>
      </x:c>
      <x:c r="H5" s="93" t="str">
        <x:v>Maintenance</x:v>
      </x:c>
      <x:c r="I5" s="43"/>
      <x:c r="J5" s="43"/>
      <x:c r="K5" s="93" t="str">
        <x:v>Sans objet</x:v>
      </x:c>
      <x:c r="L5" s="93" t="str">
        <x:v>En cours</x:v>
      </x:c>
      <x:c r="M5" s="93" t="str">
        <x:v>En cours</x:v>
      </x:c>
      <x:c r="N5" s="43"/>
      <x:c r="O5" s="93" t="str">
        <x:v>Soudage / découpe</x:v>
      </x:c>
      <x:c r="P5" s="93" t="str">
        <x:v>Entrepôt / logistique</x:v>
      </x:c>
    </x:row>
    <x:row r="6" ht="34" hidden="0" customHeight="1">
      <x:c r="A6" s="94" t="str">
        <x:v>Arrêt de travail</x:v>
      </x:c>
      <x:c r="B6" s="94" t="str">
        <x:v>Journée (sans travail en équipes)</x:v>
      </x:c>
      <x:c r="C6" s="94" t="str">
        <x:v>Contact avec une arête vive</x:v>
      </x:c>
      <x:c r="D6" s="94" t="str">
        <x:v>Cou</x:v>
      </x:c>
      <x:c r="E6" s="94" t="str">
        <x:v>Contusion</x:v>
      </x:c>
      <x:c r="F6" s="94" t="str">
        <x:v>Formation non dispensée</x:v>
      </x:c>
      <x:c r="G6" s="94" t="str">
        <x:v>Inconnue</x:v>
      </x:c>
      <x:c r="H6" s="94" t="str">
        <x:v>Urgence</x:v>
      </x:c>
      <x:c r="I6" s="43"/>
      <x:c r="J6" s="43"/>
      <x:c r="K6" s="43"/>
      <x:c r="L6" s="43"/>
      <x:c r="M6" s="43"/>
      <x:c r="N6" s="43"/>
      <x:c r="O6" s="94" t="str">
        <x:v>Peinture / revêtement</x:v>
      </x:c>
      <x:c r="P6" s="94" t="str">
        <x:v>Qualité</x:v>
      </x:c>
    </x:row>
    <x:row r="7" ht="34" hidden="0" customHeight="1">
      <x:c r="A7" s="93" t="str">
        <x:v>Décès</x:v>
      </x:c>
      <x:c r="B7" s="43"/>
      <x:c r="C7" s="93" t="str">
        <x:v>Contact avec une surface chaude</x:v>
      </x:c>
      <x:c r="D7" s="93" t="str">
        <x:v>Épaule</x:v>
      </x:c>
      <x:c r="E7" s="93" t="str">
        <x:v>Fracture</x:v>
      </x:c>
      <x:c r="F7" s="93" t="str">
        <x:v>Formation insuffisante</x:v>
      </x:c>
      <x:c r="G7" s="43"/>
      <x:c r="H7" s="93" t="str">
        <x:v>Mise en service</x:v>
      </x:c>
      <x:c r="I7" s="43"/>
      <x:c r="J7" s="43"/>
      <x:c r="K7" s="43"/>
      <x:c r="L7" s="43"/>
      <x:c r="M7" s="43"/>
      <x:c r="N7" s="43"/>
      <x:c r="O7" s="93" t="str">
        <x:v>Manipulation de produits chimiques</x:v>
      </x:c>
      <x:c r="P7" s="93" t="str">
        <x:v>Ingénierie</x:v>
      </x:c>
    </x:row>
    <x:row r="8" ht="34" hidden="0" customHeight="1">
      <x:c r="A8" s="43"/>
      <x:c r="B8" s="43"/>
      <x:c r="C8" s="94" t="str">
        <x:v>Happé / coincé</x:v>
      </x:c>
      <x:c r="D8" s="94" t="str">
        <x:v>Bras</x:v>
      </x:c>
      <x:c r="E8" s="94" t="str">
        <x:v>Entorse/Élongation</x:v>
      </x:c>
      <x:c r="F8" s="94" t="str">
        <x:v>Surveillance insuffisante</x:v>
      </x:c>
      <x:c r="G8" s="43"/>
      <x:c r="H8" s="43"/>
      <x:c r="I8" s="43"/>
      <x:c r="J8" s="43"/>
      <x:c r="K8" s="43"/>
      <x:c r="L8" s="43"/>
      <x:c r="M8" s="43"/>
      <x:c r="N8" s="43"/>
      <x:c r="O8" s="94" t="str">
        <x:v>Travaux électriques</x:v>
      </x:c>
      <x:c r="P8" s="94" t="str">
        <x:v>Bureaux / administration</x:v>
      </x:c>
    </x:row>
    <x:row r="9" ht="34" hidden="0" customHeight="1">
      <x:c r="A9" s="43"/>
      <x:c r="B9" s="43"/>
      <x:c r="C9" s="93" t="str">
        <x:v>Glissade / trébuchement / chute de plain-pied</x:v>
      </x:c>
      <x:c r="D9" s="93" t="str">
        <x:v>Coude</x:v>
      </x:c>
      <x:c r="E9" s="93" t="str">
        <x:v>Luxation</x:v>
      </x:c>
      <x:c r="F9" s="93" t="str">
        <x:v>Maintenance non effectuée</x:v>
      </x:c>
      <x:c r="G9" s="43"/>
      <x:c r="H9" s="43"/>
      <x:c r="I9" s="43"/>
      <x:c r="J9" s="43"/>
      <x:c r="K9" s="43"/>
      <x:c r="L9" s="43"/>
      <x:c r="M9" s="43"/>
      <x:c r="N9" s="43"/>
      <x:c r="O9" s="93" t="str">
        <x:v>Manutention</x:v>
      </x:c>
      <x:c r="P9" s="93" t="str">
        <x:v>Entretien des bâtiments</x:v>
      </x:c>
    </x:row>
    <x:row r="10" ht="34" hidden="0" customHeight="1">
      <x:c r="A10" s="43"/>
      <x:c r="B10" s="43"/>
      <x:c r="C10" s="94" t="str">
        <x:v>Chute de hauteur</x:v>
      </x:c>
      <x:c r="D10" s="94" t="str">
        <x:v>Avant-bras</x:v>
      </x:c>
      <x:c r="E10" s="94" t="str">
        <x:v>Brûlure thermique</x:v>
      </x:c>
      <x:c r="F10" s="94" t="str">
        <x:v>Défaillance / défaut d’équipement</x:v>
      </x:c>
      <x:c r="G10" s="43"/>
      <x:c r="H10" s="43"/>
      <x:c r="I10" s="43"/>
      <x:c r="J10" s="43"/>
      <x:c r="K10" s="43"/>
      <x:c r="L10" s="43"/>
      <x:c r="M10" s="43"/>
      <x:c r="N10" s="43"/>
      <x:c r="O10" s="94" t="str">
        <x:v>Conduite de chariot élévateur / véhicule</x:v>
      </x:c>
      <x:c r="P10" s="94" t="str">
        <x:v>Entreprise externe</x:v>
      </x:c>
    </x:row>
    <x:row r="11" ht="34" hidden="0" customHeight="1">
      <x:c r="A11" s="43"/>
      <x:c r="B11" s="43"/>
      <x:c r="C11" s="93" t="str">
        <x:v>Effort physique excessif / contrainte ergonomique</x:v>
      </x:c>
      <x:c r="D11" s="93" t="str">
        <x:v>Poignet/Bras</x:v>
      </x:c>
      <x:c r="E11" s="93" t="str">
        <x:v>Brûlure chimique</x:v>
      </x:c>
      <x:c r="F11" s="93" t="str">
        <x:v>Protection absente ou insuffisante</x:v>
      </x:c>
      <x:c r="G11" s="43"/>
      <x:c r="H11" s="43"/>
      <x:c r="I11" s="43"/>
      <x:c r="J11" s="43"/>
      <x:c r="K11" s="43"/>
      <x:c r="L11" s="43"/>
      <x:c r="M11" s="43"/>
      <x:c r="N11" s="43"/>
      <x:c r="O11" s="93" t="str">
        <x:v>Travail en hauteur</x:v>
      </x:c>
      <x:c r="P11" s="43" t="str">
        <x:v>Entrepôt</x:v>
      </x:c>
    </x:row>
    <x:row r="12" ht="34" hidden="0" customHeight="1">
      <x:c r="A12" s="43"/>
      <x:c r="B12" s="43"/>
      <x:c r="C12" s="94" t="str">
        <x:v>Exposition à une substance</x:v>
      </x:c>
      <x:c r="D12" s="94" t="str">
        <x:v>Main/Doigts</x:v>
      </x:c>
      <x:c r="E12" s="94" t="str">
        <x:v>Brûlure par rayonnement / flash</x:v>
      </x:c>
      <x:c r="F12" s="94" t="str">
        <x:v>Consignation non appliquée</x:v>
      </x:c>
      <x:c r="G12" s="43"/>
      <x:c r="H12" s="43"/>
      <x:c r="I12" s="43"/>
      <x:c r="J12" s="43"/>
      <x:c r="K12" s="43"/>
      <x:c r="L12" s="43"/>
      <x:c r="M12" s="43"/>
      <x:c r="N12" s="43"/>
      <x:c r="O12" s="94" t="str">
        <x:v>Travail en espace confiné</x:v>
      </x:c>
      <x:c r="P12" s="43" t="str">
        <x:v>Logistique</x:v>
      </x:c>
    </x:row>
    <x:row r="13" ht="34" hidden="0" customHeight="1">
      <x:c r="A13" s="43"/>
      <x:c r="B13" s="43"/>
      <x:c r="C13" s="93" t="str">
        <x:v>Exposition à une énergie / défaut de consignation</x:v>
      </x:c>
      <x:c r="D13" s="93" t="str">
        <x:v>Pouce</x:v>
      </x:c>
      <x:c r="E13" s="93" t="str">
        <x:v>Projection de produit chimique</x:v>
      </x:c>
      <x:c r="F13" s="93" t="str">
        <x:v>EPI non disponible</x:v>
      </x:c>
      <x:c r="G13" s="43"/>
      <x:c r="H13" s="43"/>
      <x:c r="I13" s="43"/>
      <x:c r="J13" s="43"/>
      <x:c r="K13" s="43"/>
      <x:c r="L13" s="43"/>
      <x:c r="M13" s="43"/>
      <x:c r="N13" s="43"/>
      <x:c r="O13" s="93" t="str">
        <x:v>Consignation / maintenance</x:v>
      </x:c>
      <x:c r="P13" s="43" t="str">
        <x:v>Bureaux</x:v>
      </x:c>
    </x:row>
    <x:row r="14" ht="34" hidden="0" customHeight="1">
      <x:c r="A14" s="43"/>
      <x:c r="B14" s="43"/>
      <x:c r="C14" s="94" t="str">
        <x:v>Accident de la route</x:v>
      </x:c>
      <x:c r="D14" s="94" t="str">
        <x:v>Thorax/Tronc</x:v>
      </x:c>
      <x:c r="E14" s="94" t="str">
        <x:v>Lésion par écrasement</x:v>
      </x:c>
      <x:c r="F14" s="94" t="str">
        <x:v>EPI non porté</x:v>
      </x:c>
      <x:c r="G14" s="43"/>
      <x:c r="H14" s="43"/>
      <x:c r="I14" s="43"/>
      <x:c r="J14" s="43"/>
      <x:c r="K14" s="43"/>
      <x:c r="L14" s="43"/>
      <x:c r="M14" s="43"/>
      <x:c r="N14" s="43"/>
      <x:c r="O14" s="94" t="str">
        <x:v>Chargement / déchargement</x:v>
      </x:c>
      <x:c r="P14" s="43"/>
    </x:row>
    <x:row r="15" ht="34" hidden="0" customHeight="1">
      <x:c r="A15" s="43"/>
      <x:c r="B15" s="43"/>
      <x:c r="C15" s="93" t="str">
        <x:v>Contact animal / exposition biologique</x:v>
      </x:c>
      <x:c r="D15" s="93" t="str">
        <x:v>Haut du dos</x:v>
      </x:c>
      <x:c r="E15" s="93" t="str">
        <x:v>Amputation</x:v>
      </x:c>
      <x:c r="F15" s="93" t="str">
        <x:v>Problème de conception / d’ergonomie</x:v>
      </x:c>
      <x:c r="G15" s="43"/>
      <x:c r="H15" s="43"/>
      <x:c r="I15" s="43"/>
      <x:c r="J15" s="43"/>
      <x:c r="K15" s="43"/>
      <x:c r="L15" s="43"/>
      <x:c r="M15" s="43"/>
      <x:c r="N15" s="43"/>
      <x:c r="O15" s="93" t="str">
        <x:v>Bureaux / administration</x:v>
      </x:c>
      <x:c r="P15" s="43"/>
    </x:row>
    <x:row r="16" ht="34" hidden="0" customHeight="1">
      <x:c r="A16" s="43"/>
      <x:c r="B16" s="43"/>
      <x:c r="C16" s="94" t="str">
        <x:v>Violence / agression</x:v>
      </x:c>
      <x:c r="D16" s="94" t="str">
        <x:v>Bas du dos</x:v>
      </x:c>
      <x:c r="E16" s="94" t="str">
        <x:v>Plaie perforante</x:v>
      </x:c>
      <x:c r="F16" s="94" t="str">
        <x:v>Pression liée aux délais</x:v>
      </x:c>
      <x:c r="G16" s="43"/>
      <x:c r="H16" s="43"/>
      <x:c r="I16" s="43"/>
      <x:c r="J16" s="43"/>
      <x:c r="K16" s="43"/>
      <x:c r="L16" s="43"/>
      <x:c r="M16" s="43"/>
      <x:c r="N16" s="43"/>
      <x:c r="O16" s="94" t="str">
        <x:v>Nettoyage / rangement</x:v>
      </x:c>
      <x:c r="P16" s="43"/>
    </x:row>
    <x:row r="17" ht="34" hidden="0" customHeight="1">
      <x:c r="A17" s="43"/>
      <x:c r="B17" s="43"/>
      <x:c r="C17" s="93" t="str">
        <x:v>Autre</x:v>
      </x:c>
      <x:c r="D17" s="93" t="str">
        <x:v>Hanche</x:v>
      </x:c>
      <x:c r="E17" s="93" t="str">
        <x:v>Corps étranger</x:v>
      </x:c>
      <x:c r="F17" s="93" t="str">
        <x:v>Pratique habituelle / culture d’entreprise</x:v>
      </x:c>
      <x:c r="G17" s="43"/>
      <x:c r="H17" s="43"/>
      <x:c r="I17" s="43"/>
      <x:c r="J17" s="43"/>
      <x:c r="K17" s="43"/>
      <x:c r="L17" s="43"/>
      <x:c r="M17" s="43"/>
      <x:c r="N17" s="43"/>
      <x:c r="O17" s="93" t="str">
        <x:v>Bâtiment / génie civil</x:v>
      </x:c>
      <x:c r="P17" s="43"/>
    </x:row>
    <x:row r="18" ht="34" hidden="0" customHeight="1">
      <x:c r="A18" s="43"/>
      <x:c r="B18" s="43"/>
      <x:c r="C18" s="43" t="str">
        <x:v>Glissade / trébuchement / chute dans un escalier</x:v>
      </x:c>
      <x:c r="D18" s="94" t="str">
        <x:v>Cuisse</x:v>
      </x:c>
      <x:c r="E18" s="94" t="str">
        <x:v>Perte auditive</x:v>
      </x:c>
      <x:c r="F18" s="94" t="str">
        <x:v>Lacune dans les contrôles</x:v>
      </x:c>
      <x:c r="G18" s="43"/>
      <x:c r="H18" s="43"/>
      <x:c r="I18" s="43"/>
      <x:c r="J18" s="43"/>
      <x:c r="K18" s="43"/>
      <x:c r="L18" s="43"/>
      <x:c r="M18" s="43"/>
      <x:c r="N18" s="43"/>
      <x:c r="O18" s="94" t="str">
        <x:v>Autre</x:v>
      </x:c>
      <x:c r="P18" s="43"/>
    </x:row>
    <x:row r="19" ht="34" hidden="0" customHeight="1">
      <x:c r="A19" s="43"/>
      <x:c r="B19" s="43"/>
      <x:c r="C19" s="43"/>
      <x:c r="D19" s="93" t="str">
        <x:v>Genou</x:v>
      </x:c>
      <x:c r="E19" s="93" t="str">
        <x:v>Lésion des voies respiratoires</x:v>
      </x:c>
      <x:c r="F19" s="93" t="str">
        <x:v>Suivi des entreprises externes insuffisant</x:v>
      </x:c>
      <x:c r="G19" s="43"/>
      <x:c r="H19" s="43"/>
      <x:c r="I19" s="43"/>
      <x:c r="J19" s="43"/>
      <x:c r="K19" s="43"/>
      <x:c r="L19" s="43"/>
      <x:c r="M19" s="43"/>
      <x:c r="N19" s="43"/>
      <x:c r="O19" s="43" t="str">
        <x:v>Pressage de métaux</x:v>
      </x:c>
      <x:c r="P19" s="43"/>
    </x:row>
    <x:row r="20" ht="34" hidden="0" customHeight="1">
      <x:c r="A20" s="43"/>
      <x:c r="B20" s="43"/>
      <x:c r="C20" s="43"/>
      <x:c r="D20" s="94" t="str">
        <x:v>Jambe (sous le genou)</x:v>
      </x:c>
      <x:c r="E20" s="94" t="str">
        <x:v>Autre</x:v>
      </x:c>
      <x:c r="F20" s="94" t="str">
        <x:v>Nouveau collaborateur / tâche peu familière</x:v>
      </x:c>
      <x:c r="G20" s="43"/>
      <x:c r="H20" s="43"/>
      <x:c r="I20" s="43"/>
      <x:c r="J20" s="43"/>
      <x:c r="K20" s="43"/>
      <x:c r="L20" s="43"/>
      <x:c r="M20" s="43"/>
      <x:c r="N20" s="43"/>
      <x:c r="O20" s="43" t="str">
        <x:v>Réception de marchandises</x:v>
      </x:c>
      <x:c r="P20" s="43"/>
    </x:row>
    <x:row r="21" ht="34" hidden="0" customHeight="1">
      <x:c r="A21" s="43"/>
      <x:c r="B21" s="43"/>
      <x:c r="C21" s="43"/>
      <x:c r="D21" s="93" t="str">
        <x:v>Cheville/Pied</x:v>
      </x:c>
      <x:c r="E21" s="43" t="str">
        <x:v>Entorse</x:v>
      </x:c>
      <x:c r="F21" s="93" t="str">
        <x:v>Autre</x:v>
      </x:c>
      <x:c r="G21" s="43"/>
      <x:c r="H21" s="43"/>
      <x:c r="I21" s="43"/>
      <x:c r="J21" s="43"/>
      <x:c r="K21" s="43"/>
      <x:c r="L21" s="43"/>
      <x:c r="M21" s="43"/>
      <x:c r="N21" s="43"/>
      <x:c r="O21" s="43" t="str">
        <x:v>Maintenance de chaudière</x:v>
      </x:c>
      <x:c r="P21" s="43"/>
    </x:row>
    <x:row r="22" ht="34" hidden="0" customHeight="1">
      <x:c r="A22" s="43"/>
      <x:c r="B22" s="43"/>
      <x:c r="C22" s="43"/>
      <x:c r="D22" s="94" t="str">
        <x:v>Orteils</x:v>
      </x:c>
      <x:c r="E22" s="43"/>
      <x:c r="F22" s="43" t="str">
        <x:v>Rayonnage surchargé</x:v>
      </x:c>
      <x:c r="G22" s="43"/>
      <x:c r="H22" s="43"/>
      <x:c r="I22" s="43"/>
      <x:c r="J22" s="43"/>
      <x:c r="K22" s="43"/>
      <x:c r="L22" s="43"/>
      <x:c r="M22" s="43"/>
      <x:c r="N22" s="43"/>
      <x:c r="O22" s="43" t="str">
        <x:v>Peinture de surfaces</x:v>
      </x:c>
      <x:c r="P22" s="43"/>
    </x:row>
    <x:row r="23" ht="34" hidden="0" customHeight="1">
      <x:c r="A23" s="43"/>
      <x:c r="B23" s="43"/>
      <x:c r="C23" s="43"/>
      <x:c r="D23" s="93" t="str">
        <x:v>Plusieurs</x:v>
      </x:c>
      <x:c r="E23" s="43"/>
      <x:c r="F23" s="43" t="str">
        <x:v>Surface de circulation usée</x:v>
      </x:c>
      <x:c r="G23" s="43"/>
      <x:c r="H23" s="43"/>
      <x:c r="I23" s="43"/>
      <x:c r="J23" s="43"/>
      <x:c r="K23" s="43"/>
      <x:c r="L23" s="43"/>
      <x:c r="M23" s="43"/>
      <x:c r="N23" s="43"/>
      <x:c r="O23" s="43" t="str">
        <x:v>Déchargement de conteneur</x:v>
      </x:c>
      <x:c r="P23" s="43"/>
    </x:row>
    <x:row r="24" ht="34" hidden="0" customHeight="1">
      <x:c r="A24" s="43"/>
      <x:c r="B24" s="43"/>
      <x:c r="C24" s="43"/>
      <x:c r="D24" s="94" t="str">
        <x:v>Aucune (presque-accident)</x:v>
      </x:c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 t="str">
        <x:v>Soudage MIG</x:v>
      </x:c>
      <x:c r="P24" s="43"/>
    </x:row>
    <x:row r="25" ht="34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 t="str">
        <x:v>Préparation de commandes</x:v>
      </x:c>
      <x:c r="P25" s="43"/>
    </x:row>
    <x:row r="26" ht="34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 t="str">
        <x:v>Installation de tableau électrique</x:v>
      </x:c>
      <x:c r="P26" s="43"/>
    </x:row>
    <x:row r="27" ht="34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 t="str">
        <x:v>Maintenance de machine</x:v>
      </x:c>
      <x:c r="P27" s="43"/>
    </x:row>
    <x:row r="28" ht="34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 t="str">
        <x:v>Déplacement courant</x:v>
      </x:c>
      <x:c r="P28" s="43"/>
    </x:row>
  </x:sheetData>
  <x:mergeCells>
    <x:mergeCell ref="A1:P1"/>
  </x:mergeCell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4.xml><?xml version="1.0" encoding="utf-8"?>
<x:worksheet xmlns:x="http://schemas.openxmlformats.org/spreadsheetml/2006/main">
  <x:sheetPr>
    <x:tabColor rgb="FF2D7A2D"/>
    <x:pageSetUpPr fitToPage="false"/>
  </x:sheetPr>
  <x:sheetViews>
    <x:sheetView showGridLines="1" workbookViewId="0"/>
  </x:sheetViews>
  <x:sheetFormatPr defaultColWidth="8.6796875" defaultRowHeight="15"/>
  <x:cols>
    <x:col min="1" max="1" width="3" style="1" hidden="0" customWidth="1"/>
    <x:col min="2" max="2" width="52" style="1" hidden="0" customWidth="1"/>
    <x:col min="3" max="4" width="18" style="1" hidden="0" customWidth="1"/>
    <x:col min="5" max="5" width="34" style="1" hidden="0" customWidth="1"/>
    <x:col min="3" max="3" width="18" hidden="0" customWidth="1"/>
    <x:col min="4" max="4" width="47" hidden="0" customWidth="1"/>
  </x:cols>
  <x:sheetData>
    <x:row r="1" ht="27.75" hidden="0" customHeight="1">
      <x:c r="B1" s="7" t="str">
        <x:v>Fréquence et gravité des accidents</x:v>
      </x:c>
      <x:c r="C1" s="7"/>
      <x:c r="D1" s="7"/>
      <x:c r="E1" s="7"/>
    </x:row>
    <x:row r="3" ht="54" hidden="0" customHeight="1">
      <x:c r="B3" s="27" t="str">
        <x:v>Heures travaillées annuelles (saisie)</x:v>
      </x:c>
      <x:c r="C3" s="28" t="n">
        <x:v>50000</x:v>
      </x:c>
      <x:c r="D3" s="88" t="str">
        <x:v>Même année et même population que les événements enregistrés, y compris le personnel externe s’il est inclus.</x:v>
      </x:c>
    </x:row>
    <x:row r="4" ht="15" hidden="0" customHeight="1">
      <x:c r="B4" s="27" t="str">
        <x:v>Année de référence</x:v>
      </x:c>
      <x:c r="C4" s="30" t="n">
        <x:v>2025</x:v>
      </x:c>
    </x:row>
    <x:row r="6" ht="46" hidden="0" customHeight="1">
      <x:c r="B6" s="49" t="str">
        <x:v>Indicateur</x:v>
      </x:c>
      <x:c r="C6" s="49" t="str">
        <x:v>Valeur</x:v>
      </x:c>
      <x:c r="D6" s="49" t="str">
        <x:v>Calcul</x:v>
      </x:c>
      <x:c r="E6" s="49" t="str">
        <x:v>Référence / objectif indicatif</x:v>
      </x:c>
    </x:row>
    <x:row r="7" ht="46" hidden="0" customHeight="1">
      <x:c r="B7" s="95" t="str">
        <x:v>Total des événements</x:v>
      </x:c>
      <x:c r="C7" s="96" t="n">
        <x:f aca="0">COUNTIF('📋 Saisie des données'!$D$4:$D$1000,$C$4)</x:f>
        <x:v>10</x:v>
      </x:c>
      <x:c r="D7" s="85" t="str">
        <x:v>Événements datés dans l’année de référence</x:v>
      </x:c>
      <x:c r="E7" s="86" t="str">
        <x:v>—</x:v>
      </x:c>
    </x:row>
    <x:row r="8" ht="46" hidden="0" customHeight="1">
      <x:c r="B8" s="97" t="str">
        <x:v>Presque-accidents</x:v>
      </x:c>
      <x:c r="C8" s="96" t="n">
        <x:f aca="0">COUNTIFS('📋 Saisie des données'!$D$4:$D$1000,$C$4,'📋 Saisie des données'!$J$4:$J$1000,'🔖 Listes de choix'!$A$3)</x:f>
        <x:v>3</x:v>
      </x:c>
      <x:c r="D8" s="85" t="str">
        <x:v>Gravité : Presque-accident</x:v>
      </x:c>
      <x:c r="E8" s="87" t="str">
        <x:v>—</x:v>
      </x:c>
    </x:row>
    <x:row r="9" ht="46" hidden="0" customHeight="1">
      <x:c r="B9" s="95" t="str">
        <x:v>Cas de premiers secours</x:v>
      </x:c>
      <x:c r="C9" s="96" t="n">
        <x:f aca="0">COUNTIFS('📋 Saisie des données'!$D$4:$D$1000,$C$4,'📋 Saisie des données'!$J$4:$J$1000,'🔖 Listes de choix'!$A$4)</x:f>
        <x:v>3</x:v>
      </x:c>
      <x:c r="D9" s="85" t="str">
        <x:v>Gravité : Premiers secours</x:v>
      </x:c>
      <x:c r="E9" s="86" t="str">
        <x:v>—</x:v>
      </x:c>
    </x:row>
    <x:row r="10" ht="46" hidden="0" customHeight="1">
      <x:c r="B10" s="97" t="str">
        <x:v>Cas avec traitement médical</x:v>
      </x:c>
      <x:c r="C10" s="96" t="n">
        <x:f aca="0">COUNTIFS('📋 Saisie des données'!$D$4:$D$1000,$C$4,'📋 Saisie des données'!$J$4:$J$1000,'🔖 Listes de choix'!$A$5)</x:f>
        <x:v>2</x:v>
      </x:c>
      <x:c r="D10" s="85" t="str">
        <x:v>Gravité : Traitement médical</x:v>
      </x:c>
      <x:c r="E10" s="87" t="str">
        <x:v>—</x:v>
      </x:c>
    </x:row>
    <x:row r="11" ht="46" hidden="0" customHeight="1">
      <x:c r="B11" s="95" t="str">
        <x:v>Accidents avec arrêt de travail</x:v>
      </x:c>
      <x:c r="C11" s="96" t="n">
        <x:f aca="0">COUNTIFS('📋 Saisie des données'!$D$4:$D$1000,$C$4,'📋 Saisie des données'!$J$4:$J$1000,'🔖 Listes de choix'!$A$6)</x:f>
        <x:v>2</x:v>
      </x:c>
      <x:c r="D11" s="85" t="str">
        <x:v>Gravité : Arrêt de travail</x:v>
      </x:c>
      <x:c r="E11" s="86" t="str">
        <x:v>—</x:v>
      </x:c>
    </x:row>
    <x:row r="12" ht="46" hidden="0" customHeight="1">
      <x:c r="B12" s="97" t="str">
        <x:v>Décès</x:v>
      </x:c>
      <x:c r="C12" s="96" t="n">
        <x:f aca="0">COUNTIFS('📋 Saisie des données'!$D$4:$D$1000,$C$4,'📋 Saisie des données'!$J$4:$J$1000,'🔖 Listes de choix'!$A$7)</x:f>
        <x:v>0</x:v>
      </x:c>
      <x:c r="D12" s="85" t="str">
        <x:v>Gravité : Décès</x:v>
      </x:c>
      <x:c r="E12" s="87" t="str">
        <x:v>Objectif indicatif</x:v>
      </x:c>
    </x:row>
    <x:row r="13" ht="46" hidden="0" customHeight="1">
      <x:c r="B13" s="95" t="str">
        <x:v>Total des jours d’absence</x:v>
      </x:c>
      <x:c r="C13" s="96" t="n">
        <x:f aca="0">SUMIFS('📋 Saisie des données'!$L$4:$L$1000,'📋 Saisie des données'!$D$4:$D$1000,$C$4)</x:f>
        <x:v>15</x:v>
      </x:c>
      <x:c r="D13" s="85" t="str">
        <x:v>Somme des jours d’absence</x:v>
      </x:c>
      <x:c r="E13" s="86" t="str">
        <x:v>—</x:v>
      </x:c>
    </x:row>
    <x:row r="14" ht="46" hidden="0" customHeight="1">
      <x:c r="B14" s="97" t="str">
        <x:v>LTIF (décès compris)</x:v>
      </x:c>
      <x:c r="C14" s="98" t="n">
        <x:f aca="0">IF(C3&gt;0,(C11+C12)*1000000/C3,"")</x:f>
        <x:v>40</x:v>
      </x:c>
      <x:c r="D14" s="85" t="str">
        <x:v>(Accidents avec arrêt + décès) × 1 000 000 ÷ heures travaillées</x:v>
      </x:c>
      <x:c r="E14" s="87" t="str">
        <x:v>Fourchette indicative : 8–15</x:v>
      </x:c>
    </x:row>
    <x:row r="15" ht="46" hidden="0" customHeight="1">
      <x:c r="B15" s="95" t="str">
        <x:v>Gravité (jours d’absence par million d’heures)</x:v>
      </x:c>
      <x:c r="C15" s="98" t="n">
        <x:f aca="0">IF(C3&gt;0,C13*1000000/C3,"")</x:f>
        <x:v>300</x:v>
      </x:c>
      <x:c r="D15" s="85" t="str">
        <x:v>Jours d’absence × 1 000 000 ÷ heures travaillées</x:v>
      </x:c>
      <x:c r="E15" s="86" t="str">
        <x:v>—</x:v>
      </x:c>
    </x:row>
    <x:row r="16" ht="46" hidden="0" customHeight="1">
      <x:c r="B16" s="97" t="str">
        <x:v>Ratio presque-accidents / cas avec lésion</x:v>
      </x:c>
      <x:c r="C16" s="98" t="n">
        <x:f aca="0">IF(SUM(C9:C12)&gt;0,C8/SUM(C9:C12),"")</x:f>
        <x:v>0.42857142857142855</x:v>
      </x:c>
      <x:c r="D16" s="85" t="str">
        <x:v>Presque-accidents ÷ tous les cas avec lésion</x:v>
      </x:c>
      <x:c r="E16" s="87" t="str">
        <x:v>Objectif indicatif</x:v>
      </x:c>
    </x:row>
    <x:row r="17" ht="46" hidden="0" customHeight="1">
      <x:c r="B17" s="95" t="str">
        <x:v>EPI requis non portés</x:v>
      </x:c>
      <x:c r="C17" s="99" t="n">
        <x:f aca="0">IF(COUNTIFS('📋 Saisie des données'!$D$4:$D$1000,$C$4,'📋 Saisie des données'!$W$4:$W$1000,'🔖 Listes de choix'!$J$3)&gt;0,COUNTIFS('📋 Saisie des données'!$D$4:$D$1000,$C$4,'📋 Saisie des données'!$W$4:$W$1000,'🔖 Listes de choix'!$J$3,'📋 Saisie des données'!$X$4:$X$1000,'🔖 Listes de choix'!$K$4)/COUNTIFS('📋 Saisie des données'!$D$4:$D$1000,$C$4,'📋 Saisie des données'!$W$4:$W$1000,'🔖 Listes de choix'!$J$3),"")</x:f>
        <x:v>0.375</x:v>
      </x:c>
      <x:c r="D17" s="85" t="str">
        <x:v>EPI requis mais non portés ÷ EPI requis</x:v>
      </x:c>
      <x:c r="E17" s="86" t="str">
        <x:v>Objectif indicatif</x:v>
      </x:c>
    </x:row>
    <x:row r="18" ht="46" hidden="0" customHeight="1">
      <x:c r="B18" s="97" t="str">
        <x:v>Part des événements impliquant une entreprise externe</x:v>
      </x:c>
      <x:c r="C18" s="99" t="n">
        <x:f aca="0">IF(C7&gt;0,COUNTIFS('📋 Saisie des données'!$D$4:$D$1000,$C$4,'📋 Saisie des données'!$P$4:$P$1000,'🔖 Listes de choix'!$I$3)/C7,"")</x:f>
        <x:v>0.1</x:v>
      </x:c>
      <x:c r="D18" s="85" t="str">
        <x:v>Événements du personnel externe ÷ tous les événements</x:v>
      </x:c>
      <x:c r="E18" s="87" t="str">
        <x:v>Suivre l’évolution</x:v>
      </x:c>
    </x:row>
    <x:row r="19" ht="46" hidden="0" customHeight="1">
      <x:c r="B19" s="95" t="str">
        <x:v>Part des événements : ≤6 mois dans la fonction</x:v>
      </x:c>
      <x:c r="C19" s="99" t="n">
        <x:f aca="0">IF(C7&gt;0,COUNTIFS('📋 Saisie des données'!$D$4:$D$1000,$C$4,'📋 Saisie des données'!$R$4:$R$1000,"&lt;=6",'📋 Saisie des données'!$R$4:$R$1000,"&gt;=0",'📋 Saisie des données'!$R$4:$R$1000,"&lt;&gt;")/C7,"")</x:f>
        <x:v>0.2</x:v>
      </x:c>
      <x:c r="D19" s="85" t="str">
        <x:v>Événements à ≤6 mois dans la fonction ÷ tous les événements</x:v>
      </x:c>
      <x:c r="E19" s="86" t="str">
        <x:v>Suivre l’évolution</x:v>
      </x:c>
    </x:row>
    <x:row r="20" ht="15" hidden="0" customHeight="1">
      <x:c r="C20" s="40"/>
    </x:row>
    <x:row r="21" ht="30" customHeight="1">
      <x:c r="B21" s="43" t="str">
        <x:v>Les références et objectifs sont des exemples. Remplacez-les par les valeurs de votre entreprise.</x:v>
      </x:c>
      <x:c r="C21" s="43"/>
      <x:c r="D21" s="43"/>
      <x:c r="E21" s="43"/>
    </x:row>
  </x:sheetData>
  <x:mergeCells>
    <x:mergeCell ref="B1:E1"/>
    <x:mergeCell ref="B21:E21"/>
  </x:mergeCells>
  <x:dataValidations count="2">
    <x:dataValidation type="decimal" operator="greaterThanOrEqual" sqref="C3">
      <x:formula1>0</x:formula1>
    </x:dataValidation>
    <x:dataValidation type="whole" operator="between" sqref="C4">
      <x:formula1>1900</x:formula1>
      <x:formula2>2100</x:formula2>
    </x:dataValidation>
  </x:dataValidation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5.xml><?xml version="1.0" encoding="utf-8"?>
<x:worksheet xmlns:x="http://schemas.openxmlformats.org/spreadsheetml/2006/main">
  <x:sheetPr>
    <x:tabColor rgb="FF1F497D"/>
    <x:pageSetUpPr fitToPage="false"/>
  </x:sheetPr>
  <x:sheetViews>
    <x:sheetView showGridLines="1" workbookViewId="0"/>
  </x:sheetViews>
  <x:sheetFormatPr defaultColWidth="8.6796875" defaultRowHeight="15"/>
  <x:cols>
    <x:col min="1" max="1" width="2" style="1" hidden="0" customWidth="1"/>
  </x:cols>
  <x:sheetData>
    <x:row r="1" ht="27.75" hidden="0" customHeight="1">
      <x:c r="B1" s="7" t="str">
        <x:v>Analyse des accidents et presque-accidents</x:v>
      </x:c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V1" s="1" t="str">
        <x:v>Mois</x:v>
      </x:c>
      <x:c r="W1" s="1" t="str">
        <x:f>'🔖 Listes de choix'!$A$3</x:f>
        <x:v>Presque-accident</x:v>
      </x:c>
      <x:c r="X1" s="1" t="str">
        <x:f>'🔖 Listes de choix'!$A$4</x:f>
        <x:v>Premiers secours</x:v>
      </x:c>
      <x:c r="Y1" s="1" t="str">
        <x:f>'🔖 Listes de choix'!$A$5</x:f>
        <x:v>Traitement médical</x:v>
      </x:c>
      <x:c r="Z1" s="1" t="str">
        <x:f>'🔖 Listes de choix'!$A$6</x:f>
        <x:v>Arrêt de travail</x:v>
      </x:c>
      <x:c r="AA1" t="str">
        <x:f>'🔖 Listes de choix'!$A$7</x:f>
        <x:v>Décès</x:v>
      </x:c>
      <x:c r="AB1" s="1" t="str">
        <x:v>Type d’événement</x:v>
      </x:c>
      <x:c r="AC1" s="1" t="str">
        <x:v>Nombre</x:v>
      </x:c>
      <x:c r="AE1" s="1" t="str">
        <x:v>Cause profonde (catégorie)</x:v>
      </x:c>
      <x:c r="AF1" s="1" t="str">
        <x:v>Nombre</x:v>
      </x:c>
      <x:c r="AH1" s="1" t="str">
        <x:v>Service</x:v>
      </x:c>
      <x:c r="AI1" s="1" t="str">
        <x:v>Nombre</x:v>
      </x:c>
    </x:row>
    <x:row r="2" ht="15" hidden="0" customHeight="1">
      <x:c r="B2" s="41" t="str">
        <x:v>Les graphiques présentent l’année de référence choisie dans Indicateurs. Copiez-les dans PowerPoint sous forme d’images.</x:v>
      </x:c>
      <x:c r="V2" s="1" t="str">
        <x:v>Janv.</x:v>
      </x:c>
      <x:c r="W2" s="1" t="n">
        <x:f aca="0">COUNTIFS('📋 Saisie des données'!$D$4:$D$1000,$C$4,'📋 Saisie des données'!$E$4:$E$1000,1,'📋 Saisie des données'!$J$4:$J$1000,W$1)</x:f>
        <x:v>0</x:v>
      </x:c>
      <x:c r="X2" s="1" t="n">
        <x:f aca="0">COUNTIFS('📋 Saisie des données'!$D$4:$D$1000,$C$4,'📋 Saisie des données'!$E$4:$E$1000,1,'📋 Saisie des données'!$J$4:$J$1000,X$1)</x:f>
        <x:v>0</x:v>
      </x:c>
      <x:c r="Y2" s="1" t="n">
        <x:f aca="0">COUNTIFS('📋 Saisie des données'!$D$4:$D$1000,$C$4,'📋 Saisie des données'!$E$4:$E$1000,1,'📋 Saisie des données'!$J$4:$J$1000,Y$1)</x:f>
        <x:v>0</x:v>
      </x:c>
      <x:c r="Z2" s="1" t="n">
        <x:f aca="0">COUNTIFS('📋 Saisie des données'!$D$4:$D$1000,$C$4,'📋 Saisie des données'!$E$4:$E$1000,1,'📋 Saisie des données'!$J$4:$J$1000,Z$1)</x:f>
        <x:v>1</x:v>
      </x:c>
      <x:c r="AA2" t="n">
        <x:f>COUNTIFS('📋 Saisie des données'!$D$4:$D$1000,$C$4,'📋 Saisie des données'!$E$4:$E$1000,1,'📋 Saisie des données'!$J$4:$J$1000,AA$1)</x:f>
        <x:v>0</x:v>
      </x:c>
      <x:c r="AB2" s="1" t="str">
        <x:f>'🔖 Listes de choix'!$C$3</x:f>
        <x:v>Heurté par un objet en mouvement</x:v>
      </x:c>
      <x:c r="AC2" s="1" t="n">
        <x:f aca="0">COUNTIFS('📋 Saisie des données'!$D$4:$D$1000,$C$4,'📋 Saisie des données'!$T$4:$T$1000,AB2)</x:f>
        <x:v>0</x:v>
      </x:c>
      <x:c r="AE2" s="1" t="str">
        <x:f>'🔖 Listes de choix'!$F$3</x:f>
        <x:v>Procédure non respectée</x:v>
      </x:c>
      <x:c r="AF2" s="1" t="n">
        <x:f aca="0">COUNTIFS('📋 Saisie des données'!$D$4:$D$1000,$C$4,'📋 Saisie des données'!$AA$4:$AA$1000,AE2)</x:f>
        <x:v>1</x:v>
      </x:c>
      <x:c r="AH2" s="1" t="str">
        <x:f>'🔖 Listes de choix'!$P$3</x:f>
        <x:v>Production</x:v>
      </x:c>
      <x:c r="AI2" s="1" t="n">
        <x:f aca="0">COUNTIFS('📋 Saisie des données'!$D$4:$D$1000,$C$4,'📋 Saisie des données'!$M$4:$M$1000,AH2)</x:f>
        <x:v>4</x:v>
      </x:c>
    </x:row>
    <x:row r="3" ht="15" hidden="0" customHeight="1">
      <x:c r="V3" s="1" t="str">
        <x:v>Févr.</x:v>
      </x:c>
      <x:c r="W3" s="1" t="n">
        <x:f aca="0">COUNTIFS('📋 Saisie des données'!$D$4:$D$1000,$C$4,'📋 Saisie des données'!$E$4:$E$1000,2,'📋 Saisie des données'!$J$4:$J$1000,W$1)</x:f>
        <x:v>1</x:v>
      </x:c>
      <x:c r="X3" s="1" t="n">
        <x:f aca="0">COUNTIFS('📋 Saisie des données'!$D$4:$D$1000,$C$4,'📋 Saisie des données'!$E$4:$E$1000,2,'📋 Saisie des données'!$J$4:$J$1000,X$1)</x:f>
        <x:v>1</x:v>
      </x:c>
      <x:c r="Y3" s="1" t="n">
        <x:f aca="0">COUNTIFS('📋 Saisie des données'!$D$4:$D$1000,$C$4,'📋 Saisie des données'!$E$4:$E$1000,2,'📋 Saisie des données'!$J$4:$J$1000,Y$1)</x:f>
        <x:v>0</x:v>
      </x:c>
      <x:c r="Z3" s="1" t="n">
        <x:f aca="0">COUNTIFS('📋 Saisie des données'!$D$4:$D$1000,$C$4,'📋 Saisie des données'!$E$4:$E$1000,2,'📋 Saisie des données'!$J$4:$J$1000,Z$1)</x:f>
        <x:v>0</x:v>
      </x:c>
      <x:c r="AA3" t="n">
        <x:f>COUNTIFS('📋 Saisie des données'!$D$4:$D$1000,$C$4,'📋 Saisie des données'!$E$4:$E$1000,2,'📋 Saisie des données'!$J$4:$J$1000,AA$1)</x:f>
        <x:v>0</x:v>
      </x:c>
      <x:c r="AB3" s="1" t="str">
        <x:f>'🔖 Listes de choix'!$C$4</x:f>
        <x:v>Heurté par un objet qui tombe</x:v>
      </x:c>
      <x:c r="AC3" s="1" t="n">
        <x:f aca="0">COUNTIFS('📋 Saisie des données'!$D$4:$D$1000,$C$4,'📋 Saisie des données'!$T$4:$T$1000,AB3)</x:f>
        <x:v>1</x:v>
      </x:c>
      <x:c r="AE3" s="1" t="str">
        <x:f>'🔖 Listes de choix'!$F$4</x:f>
        <x:v>Absence de procédure</x:v>
      </x:c>
      <x:c r="AF3" s="1" t="n">
        <x:f aca="0">COUNTIFS('📋 Saisie des données'!$D$4:$D$1000,$C$4,'📋 Saisie des données'!$AA$4:$AA$1000,AE3)</x:f>
        <x:v>0</x:v>
      </x:c>
      <x:c r="AH3" s="1" t="str">
        <x:f>'🔖 Listes de choix'!$P$4</x:f>
        <x:v>Maintenance</x:v>
      </x:c>
      <x:c r="AI3" s="1" t="n">
        <x:f aca="0">COUNTIFS('📋 Saisie des données'!$D$4:$D$1000,$C$4,'📋 Saisie des données'!$M$4:$M$1000,AH3)</x:f>
        <x:v>2</x:v>
      </x:c>
    </x:row>
    <x:row r="4" ht="15" hidden="0" customHeight="1">
      <x:c r="C4" s="1" t="n">
        <x:f aca="0">'📈 Indicateurs'!C4</x:f>
        <x:v>2025</x:v>
      </x:c>
      <x:c r="V4" s="1" t="str">
        <x:v>Mars</x:v>
      </x:c>
      <x:c r="W4" s="1" t="n">
        <x:f aca="0">COUNTIFS('📋 Saisie des données'!$D$4:$D$1000,$C$4,'📋 Saisie des données'!$E$4:$E$1000,3,'📋 Saisie des données'!$J$4:$J$1000,W$1)</x:f>
        <x:v>0</x:v>
      </x:c>
      <x:c r="X4" s="1" t="n">
        <x:f aca="0">COUNTIFS('📋 Saisie des données'!$D$4:$D$1000,$C$4,'📋 Saisie des données'!$E$4:$E$1000,3,'📋 Saisie des données'!$J$4:$J$1000,X$1)</x:f>
        <x:v>0</x:v>
      </x:c>
      <x:c r="Y4" s="1" t="n">
        <x:f aca="0">COUNTIFS('📋 Saisie des données'!$D$4:$D$1000,$C$4,'📋 Saisie des données'!$E$4:$E$1000,3,'📋 Saisie des données'!$J$4:$J$1000,Y$1)</x:f>
        <x:v>1</x:v>
      </x:c>
      <x:c r="Z4" s="1" t="n">
        <x:f aca="0">COUNTIFS('📋 Saisie des données'!$D$4:$D$1000,$C$4,'📋 Saisie des données'!$E$4:$E$1000,3,'📋 Saisie des données'!$J$4:$J$1000,Z$1)</x:f>
        <x:v>1</x:v>
      </x:c>
      <x:c r="AA4" t="n">
        <x:f>COUNTIFS('📋 Saisie des données'!$D$4:$D$1000,$C$4,'📋 Saisie des données'!$E$4:$E$1000,3,'📋 Saisie des données'!$J$4:$J$1000,AA$1)</x:f>
        <x:v>0</x:v>
      </x:c>
      <x:c r="AB4" s="1" t="str">
        <x:f>'🔖 Listes de choix'!$C$5</x:f>
        <x:v>Heurté par un projectile</x:v>
      </x:c>
      <x:c r="AC4" s="1" t="n">
        <x:f aca="0">COUNTIFS('📋 Saisie des données'!$D$4:$D$1000,$C$4,'📋 Saisie des données'!$T$4:$T$1000,AB4)</x:f>
        <x:v>1</x:v>
      </x:c>
      <x:c r="AE4" s="1" t="str">
        <x:f>'🔖 Listes de choix'!$F$5</x:f>
        <x:v>Procédure inadéquate</x:v>
      </x:c>
      <x:c r="AF4" s="1" t="n">
        <x:f aca="0">COUNTIFS('📋 Saisie des données'!$D$4:$D$1000,$C$4,'📋 Saisie des données'!$AA$4:$AA$1000,AE4)</x:f>
        <x:v>0</x:v>
      </x:c>
      <x:c r="AH4" s="1" t="str">
        <x:f>'🔖 Listes de choix'!$P$5</x:f>
        <x:v>Entrepôt / logistique</x:v>
      </x:c>
      <x:c r="AI4" s="1" t="n">
        <x:f aca="0">COUNTIFS('📋 Saisie des données'!$D$4:$D$1000,$C$4,'📋 Saisie des données'!$M$4:$M$1000,AH4)</x:f>
        <x:v>0</x:v>
      </x:c>
    </x:row>
    <x:row r="5" ht="15" hidden="0" customHeight="1">
      <x:c r="V5" s="1" t="str">
        <x:v>Avr.</x:v>
      </x:c>
      <x:c r="W5" s="1" t="n">
        <x:f aca="0">COUNTIFS('📋 Saisie des données'!$D$4:$D$1000,$C$4,'📋 Saisie des données'!$E$4:$E$1000,4,'📋 Saisie des données'!$J$4:$J$1000,W$1)</x:f>
        <x:v>1</x:v>
      </x:c>
      <x:c r="X5" s="1" t="n">
        <x:f aca="0">COUNTIFS('📋 Saisie des données'!$D$4:$D$1000,$C$4,'📋 Saisie des données'!$E$4:$E$1000,4,'📋 Saisie des données'!$J$4:$J$1000,X$1)</x:f>
        <x:v>1</x:v>
      </x:c>
      <x:c r="Y5" s="1" t="n">
        <x:f aca="0">COUNTIFS('📋 Saisie des données'!$D$4:$D$1000,$C$4,'📋 Saisie des données'!$E$4:$E$1000,4,'📋 Saisie des données'!$J$4:$J$1000,Y$1)</x:f>
        <x:v>1</x:v>
      </x:c>
      <x:c r="Z5" s="1" t="n">
        <x:f aca="0">COUNTIFS('📋 Saisie des données'!$D$4:$D$1000,$C$4,'📋 Saisie des données'!$E$4:$E$1000,4,'📋 Saisie des données'!$J$4:$J$1000,Z$1)</x:f>
        <x:v>0</x:v>
      </x:c>
      <x:c r="AA5" t="n">
        <x:f>COUNTIFS('📋 Saisie des données'!$D$4:$D$1000,$C$4,'📋 Saisie des données'!$E$4:$E$1000,4,'📋 Saisie des données'!$J$4:$J$1000,AA$1)</x:f>
        <x:v>0</x:v>
      </x:c>
      <x:c r="AB5" s="1" t="str">
        <x:f>'🔖 Listes de choix'!$C$6</x:f>
        <x:v>Contact avec une arête vive</x:v>
      </x:c>
      <x:c r="AC5" s="1" t="n">
        <x:f aca="0">COUNTIFS('📋 Saisie des données'!$D$4:$D$1000,$C$4,'📋 Saisie des données'!$T$4:$T$1000,AB5)</x:f>
        <x:v>1</x:v>
      </x:c>
      <x:c r="AE5" s="1" t="str">
        <x:f>'🔖 Listes de choix'!$F$6</x:f>
        <x:v>Formation non dispensée</x:v>
      </x:c>
      <x:c r="AF5" s="1" t="n">
        <x:f aca="0">COUNTIFS('📋 Saisie des données'!$D$4:$D$1000,$C$4,'📋 Saisie des données'!$AA$4:$AA$1000,AE5)</x:f>
        <x:v>0</x:v>
      </x:c>
      <x:c r="AH5" s="1" t="str">
        <x:f>'🔖 Listes de choix'!$P$6</x:f>
        <x:v>Qualité</x:v>
      </x:c>
      <x:c r="AI5" s="1" t="n">
        <x:f aca="0">COUNTIFS('📋 Saisie des données'!$D$4:$D$1000,$C$4,'📋 Saisie des données'!$M$4:$M$1000,AH5)</x:f>
        <x:v>0</x:v>
      </x:c>
    </x:row>
    <x:row r="6" ht="15" hidden="0" customHeight="1">
      <x:c r="V6" s="1" t="str">
        <x:v>Mai</x:v>
      </x:c>
      <x:c r="W6" s="1" t="n">
        <x:f aca="0">COUNTIFS('📋 Saisie des données'!$D$4:$D$1000,$C$4,'📋 Saisie des données'!$E$4:$E$1000,5,'📋 Saisie des données'!$J$4:$J$1000,W$1)</x:f>
        <x:v>1</x:v>
      </x:c>
      <x:c r="X6" s="1" t="n">
        <x:f aca="0">COUNTIFS('📋 Saisie des données'!$D$4:$D$1000,$C$4,'📋 Saisie des données'!$E$4:$E$1000,5,'📋 Saisie des données'!$J$4:$J$1000,X$1)</x:f>
        <x:v>0</x:v>
      </x:c>
      <x:c r="Y6" s="1" t="n">
        <x:f aca="0">COUNTIFS('📋 Saisie des données'!$D$4:$D$1000,$C$4,'📋 Saisie des données'!$E$4:$E$1000,5,'📋 Saisie des données'!$J$4:$J$1000,Y$1)</x:f>
        <x:v>0</x:v>
      </x:c>
      <x:c r="Z6" s="1" t="n">
        <x:f aca="0">COUNTIFS('📋 Saisie des données'!$D$4:$D$1000,$C$4,'📋 Saisie des données'!$E$4:$E$1000,5,'📋 Saisie des données'!$J$4:$J$1000,Z$1)</x:f>
        <x:v>0</x:v>
      </x:c>
      <x:c r="AA6" t="n">
        <x:f>COUNTIFS('📋 Saisie des données'!$D$4:$D$1000,$C$4,'📋 Saisie des données'!$E$4:$E$1000,5,'📋 Saisie des données'!$J$4:$J$1000,AA$1)</x:f>
        <x:v>0</x:v>
      </x:c>
      <x:c r="AB6" s="1" t="str">
        <x:f>'🔖 Listes de choix'!$C$7</x:f>
        <x:v>Contact avec une surface chaude</x:v>
      </x:c>
      <x:c r="AC6" s="1" t="n">
        <x:f aca="0">COUNTIFS('📋 Saisie des données'!$D$4:$D$1000,$C$4,'📋 Saisie des données'!$T$4:$T$1000,AB6)</x:f>
        <x:v>0</x:v>
      </x:c>
      <x:c r="AE6" s="1" t="str">
        <x:f>'🔖 Listes de choix'!$F$7</x:f>
        <x:v>Formation insuffisante</x:v>
      </x:c>
      <x:c r="AF6" s="1" t="n">
        <x:f aca="0">COUNTIFS('📋 Saisie des données'!$D$4:$D$1000,$C$4,'📋 Saisie des données'!$AA$4:$AA$1000,AE6)</x:f>
        <x:v>0</x:v>
      </x:c>
      <x:c r="AH6" s="1" t="str">
        <x:f>'🔖 Listes de choix'!$P$7</x:f>
        <x:v>Ingénierie</x:v>
      </x:c>
      <x:c r="AI6" s="1" t="n">
        <x:f aca="0">COUNTIFS('📋 Saisie des données'!$D$4:$D$1000,$C$4,'📋 Saisie des données'!$M$4:$M$1000,AH6)</x:f>
        <x:v>0</x:v>
      </x:c>
    </x:row>
    <x:row r="7" ht="15" hidden="0" customHeight="1">
      <x:c r="V7" s="1" t="str">
        <x:v>Juin</x:v>
      </x:c>
      <x:c r="W7" s="1" t="n">
        <x:f aca="0">COUNTIFS('📋 Saisie des données'!$D$4:$D$1000,$C$4,'📋 Saisie des données'!$E$4:$E$1000,6,'📋 Saisie des données'!$J$4:$J$1000,W$1)</x:f>
        <x:v>0</x:v>
      </x:c>
      <x:c r="X7" s="1" t="n">
        <x:f aca="0">COUNTIFS('📋 Saisie des données'!$D$4:$D$1000,$C$4,'📋 Saisie des données'!$E$4:$E$1000,6,'📋 Saisie des données'!$J$4:$J$1000,X$1)</x:f>
        <x:v>1</x:v>
      </x:c>
      <x:c r="Y7" s="1" t="n">
        <x:f aca="0">COUNTIFS('📋 Saisie des données'!$D$4:$D$1000,$C$4,'📋 Saisie des données'!$E$4:$E$1000,6,'📋 Saisie des données'!$J$4:$J$1000,Y$1)</x:f>
        <x:v>0</x:v>
      </x:c>
      <x:c r="Z7" s="1" t="n">
        <x:f aca="0">COUNTIFS('📋 Saisie des données'!$D$4:$D$1000,$C$4,'📋 Saisie des données'!$E$4:$E$1000,6,'📋 Saisie des données'!$J$4:$J$1000,Z$1)</x:f>
        <x:v>0</x:v>
      </x:c>
      <x:c r="AA7" t="n">
        <x:f>COUNTIFS('📋 Saisie des données'!$D$4:$D$1000,$C$4,'📋 Saisie des données'!$E$4:$E$1000,6,'📋 Saisie des données'!$J$4:$J$1000,AA$1)</x:f>
        <x:v>0</x:v>
      </x:c>
      <x:c r="AB7" s="1" t="str">
        <x:f>'🔖 Listes de choix'!$C$8</x:f>
        <x:v>Happé / coincé</x:v>
      </x:c>
      <x:c r="AC7" s="1" t="n">
        <x:f aca="0">COUNTIFS('📋 Saisie des données'!$D$4:$D$1000,$C$4,'📋 Saisie des données'!$T$4:$T$1000,AB7)</x:f>
        <x:v>1</x:v>
      </x:c>
      <x:c r="AE7" s="1" t="str">
        <x:f>'🔖 Listes de choix'!$F$8</x:f>
        <x:v>Surveillance insuffisante</x:v>
      </x:c>
      <x:c r="AF7" s="1" t="n">
        <x:f aca="0">COUNTIFS('📋 Saisie des données'!$D$4:$D$1000,$C$4,'📋 Saisie des données'!$AA$4:$AA$1000,AE7)</x:f>
        <x:v>0</x:v>
      </x:c>
      <x:c r="AH7" s="1" t="str">
        <x:f>'🔖 Listes de choix'!$P$8</x:f>
        <x:v>Bureaux / administration</x:v>
      </x:c>
      <x:c r="AI7" s="1" t="n">
        <x:f aca="0">COUNTIFS('📋 Saisie des données'!$D$4:$D$1000,$C$4,'📋 Saisie des données'!$M$4:$M$1000,AH7)</x:f>
        <x:v>0</x:v>
      </x:c>
    </x:row>
    <x:row r="8" ht="15" hidden="0" customHeight="1">
      <x:c r="V8" s="1" t="str">
        <x:v>Juil.</x:v>
      </x:c>
      <x:c r="W8" s="1" t="n">
        <x:f aca="0">COUNTIFS('📋 Saisie des données'!$D$4:$D$1000,$C$4,'📋 Saisie des données'!$E$4:$E$1000,7,'📋 Saisie des données'!$J$4:$J$1000,W$1)</x:f>
        <x:v>0</x:v>
      </x:c>
      <x:c r="X8" s="1" t="n">
        <x:f aca="0">COUNTIFS('📋 Saisie des données'!$D$4:$D$1000,$C$4,'📋 Saisie des données'!$E$4:$E$1000,7,'📋 Saisie des données'!$J$4:$J$1000,X$1)</x:f>
        <x:v>0</x:v>
      </x:c>
      <x:c r="Y8" s="1" t="n">
        <x:f aca="0">COUNTIFS('📋 Saisie des données'!$D$4:$D$1000,$C$4,'📋 Saisie des données'!$E$4:$E$1000,7,'📋 Saisie des données'!$J$4:$J$1000,Y$1)</x:f>
        <x:v>0</x:v>
      </x:c>
      <x:c r="Z8" s="1" t="n">
        <x:f aca="0">COUNTIFS('📋 Saisie des données'!$D$4:$D$1000,$C$4,'📋 Saisie des données'!$E$4:$E$1000,7,'📋 Saisie des données'!$J$4:$J$1000,Z$1)</x:f>
        <x:v>0</x:v>
      </x:c>
      <x:c r="AA8" t="n">
        <x:f>COUNTIFS('📋 Saisie des données'!$D$4:$D$1000,$C$4,'📋 Saisie des données'!$E$4:$E$1000,7,'📋 Saisie des données'!$J$4:$J$1000,AA$1)</x:f>
        <x:v>0</x:v>
      </x:c>
      <x:c r="AB8" s="1" t="str">
        <x:f>'🔖 Listes de choix'!$C$9</x:f>
        <x:v>Glissade / trébuchement / chute de plain-pied</x:v>
      </x:c>
      <x:c r="AC8" s="1" t="n">
        <x:f aca="0">COUNTIFS('📋 Saisie des données'!$D$4:$D$1000,$C$4,'📋 Saisie des données'!$T$4:$T$1000,AB8)</x:f>
        <x:v>1</x:v>
      </x:c>
      <x:c r="AE8" s="1" t="str">
        <x:f>'🔖 Listes de choix'!$F$9</x:f>
        <x:v>Maintenance non effectuée</x:v>
      </x:c>
      <x:c r="AF8" s="1" t="n">
        <x:f aca="0">COUNTIFS('📋 Saisie des données'!$D$4:$D$1000,$C$4,'📋 Saisie des données'!$AA$4:$AA$1000,AE8)</x:f>
        <x:v>1</x:v>
      </x:c>
      <x:c r="AH8" s="1" t="str">
        <x:f>'🔖 Listes de choix'!$P$9</x:f>
        <x:v>Entretien des bâtiments</x:v>
      </x:c>
      <x:c r="AI8" s="1" t="n">
        <x:f aca="0">COUNTIFS('📋 Saisie des données'!$D$4:$D$1000,$C$4,'📋 Saisie des données'!$M$4:$M$1000,AH8)</x:f>
        <x:v>0</x:v>
      </x:c>
    </x:row>
    <x:row r="9" ht="15" hidden="0" customHeight="1">
      <x:c r="V9" s="1" t="str">
        <x:v>Août</x:v>
      </x:c>
      <x:c r="W9" s="1" t="n">
        <x:f aca="0">COUNTIFS('📋 Saisie des données'!$D$4:$D$1000,$C$4,'📋 Saisie des données'!$E$4:$E$1000,8,'📋 Saisie des données'!$J$4:$J$1000,W$1)</x:f>
        <x:v>0</x:v>
      </x:c>
      <x:c r="X9" s="1" t="n">
        <x:f aca="0">COUNTIFS('📋 Saisie des données'!$D$4:$D$1000,$C$4,'📋 Saisie des données'!$E$4:$E$1000,8,'📋 Saisie des données'!$J$4:$J$1000,X$1)</x:f>
        <x:v>0</x:v>
      </x:c>
      <x:c r="Y9" s="1" t="n">
        <x:f aca="0">COUNTIFS('📋 Saisie des données'!$D$4:$D$1000,$C$4,'📋 Saisie des données'!$E$4:$E$1000,8,'📋 Saisie des données'!$J$4:$J$1000,Y$1)</x:f>
        <x:v>0</x:v>
      </x:c>
      <x:c r="Z9" s="1" t="n">
        <x:f aca="0">COUNTIFS('📋 Saisie des données'!$D$4:$D$1000,$C$4,'📋 Saisie des données'!$E$4:$E$1000,8,'📋 Saisie des données'!$J$4:$J$1000,Z$1)</x:f>
        <x:v>0</x:v>
      </x:c>
      <x:c r="AA9" t="n">
        <x:f>COUNTIFS('📋 Saisie des données'!$D$4:$D$1000,$C$4,'📋 Saisie des données'!$E$4:$E$1000,8,'📋 Saisie des données'!$J$4:$J$1000,AA$1)</x:f>
        <x:v>0</x:v>
      </x:c>
      <x:c r="AB9" s="1" t="str">
        <x:f>'🔖 Listes de choix'!$C$10</x:f>
        <x:v>Chute de hauteur</x:v>
      </x:c>
      <x:c r="AC9" s="1" t="n">
        <x:f aca="0">COUNTIFS('📋 Saisie des données'!$D$4:$D$1000,$C$4,'📋 Saisie des données'!$T$4:$T$1000,AB9)</x:f>
        <x:v>1</x:v>
      </x:c>
      <x:c r="AE9" s="1" t="str">
        <x:f>'🔖 Listes de choix'!$F$10</x:f>
        <x:v>Défaillance / défaut d’équipement</x:v>
      </x:c>
      <x:c r="AF9" s="1" t="n">
        <x:f aca="0">COUNTIFS('📋 Saisie des données'!$D$4:$D$1000,$C$4,'📋 Saisie des données'!$AA$4:$AA$1000,AE9)</x:f>
        <x:v>1</x:v>
      </x:c>
      <x:c r="AH9" s="1" t="str">
        <x:f>'🔖 Listes de choix'!$P$10</x:f>
        <x:v>Entreprise externe</x:v>
      </x:c>
      <x:c r="AI9" s="1" t="n">
        <x:f aca="0">COUNTIFS('📋 Saisie des données'!$D$4:$D$1000,$C$4,'📋 Saisie des données'!$M$4:$M$1000,AH9)</x:f>
        <x:v>0</x:v>
      </x:c>
    </x:row>
    <x:row r="10" ht="15" hidden="0" customHeight="1">
      <x:c r="V10" s="1" t="str">
        <x:v>Sept.</x:v>
      </x:c>
      <x:c r="W10" s="1" t="n">
        <x:f aca="0">COUNTIFS('📋 Saisie des données'!$D$4:$D$1000,$C$4,'📋 Saisie des données'!$E$4:$E$1000,9,'📋 Saisie des données'!$J$4:$J$1000,W$1)</x:f>
        <x:v>0</x:v>
      </x:c>
      <x:c r="X10" s="1" t="n">
        <x:f aca="0">COUNTIFS('📋 Saisie des données'!$D$4:$D$1000,$C$4,'📋 Saisie des données'!$E$4:$E$1000,9,'📋 Saisie des données'!$J$4:$J$1000,X$1)</x:f>
        <x:v>0</x:v>
      </x:c>
      <x:c r="Y10" s="1" t="n">
        <x:f aca="0">COUNTIFS('📋 Saisie des données'!$D$4:$D$1000,$C$4,'📋 Saisie des données'!$E$4:$E$1000,9,'📋 Saisie des données'!$J$4:$J$1000,Y$1)</x:f>
        <x:v>0</x:v>
      </x:c>
      <x:c r="Z10" s="1" t="n">
        <x:f aca="0">COUNTIFS('📋 Saisie des données'!$D$4:$D$1000,$C$4,'📋 Saisie des données'!$E$4:$E$1000,9,'📋 Saisie des données'!$J$4:$J$1000,Z$1)</x:f>
        <x:v>0</x:v>
      </x:c>
      <x:c r="AA10" t="n">
        <x:f>COUNTIFS('📋 Saisie des données'!$D$4:$D$1000,$C$4,'📋 Saisie des données'!$E$4:$E$1000,9,'📋 Saisie des données'!$J$4:$J$1000,AA$1)</x:f>
        <x:v>0</x:v>
      </x:c>
      <x:c r="AB10" s="1" t="str">
        <x:f>'🔖 Listes de choix'!$C$11</x:f>
        <x:v>Effort physique excessif / contrainte ergonomique</x:v>
      </x:c>
      <x:c r="AC10" s="1" t="n">
        <x:f aca="0">COUNTIFS('📋 Saisie des données'!$D$4:$D$1000,$C$4,'📋 Saisie des données'!$T$4:$T$1000,AB10)</x:f>
        <x:v>0</x:v>
      </x:c>
      <x:c r="AE10" s="1" t="str">
        <x:f>'🔖 Listes de choix'!$F$11</x:f>
        <x:v>Protection absente ou insuffisante</x:v>
      </x:c>
      <x:c r="AF10" s="1" t="n">
        <x:f aca="0">COUNTIFS('📋 Saisie des données'!$D$4:$D$1000,$C$4,'📋 Saisie des données'!$AA$4:$AA$1000,AE10)</x:f>
        <x:v>1</x:v>
      </x:c>
      <x:c r="AH10" t="str">
        <x:f>'🔖 Listes de choix'!$P$11</x:f>
        <x:v>Entrepôt</x:v>
      </x:c>
      <x:c r="AI10" t="n">
        <x:f>COUNTIFS('📋 Saisie des données'!$D$4:$D$1000,$C$4,'📋 Saisie des données'!$M$4:$M$1000,AH10)</x:f>
        <x:v>2</x:v>
      </x:c>
    </x:row>
    <x:row r="11" ht="15" hidden="0" customHeight="1">
      <x:c r="V11" s="1" t="str">
        <x:v>Oct.</x:v>
      </x:c>
      <x:c r="W11" s="1" t="n">
        <x:f aca="0">COUNTIFS('📋 Saisie des données'!$D$4:$D$1000,$C$4,'📋 Saisie des données'!$E$4:$E$1000,10,'📋 Saisie des données'!$J$4:$J$1000,W$1)</x:f>
        <x:v>0</x:v>
      </x:c>
      <x:c r="X11" s="1" t="n">
        <x:f aca="0">COUNTIFS('📋 Saisie des données'!$D$4:$D$1000,$C$4,'📋 Saisie des données'!$E$4:$E$1000,10,'📋 Saisie des données'!$J$4:$J$1000,X$1)</x:f>
        <x:v>0</x:v>
      </x:c>
      <x:c r="Y11" s="1" t="n">
        <x:f aca="0">COUNTIFS('📋 Saisie des données'!$D$4:$D$1000,$C$4,'📋 Saisie des données'!$E$4:$E$1000,10,'📋 Saisie des données'!$J$4:$J$1000,Y$1)</x:f>
        <x:v>0</x:v>
      </x:c>
      <x:c r="Z11" s="1" t="n">
        <x:f aca="0">COUNTIFS('📋 Saisie des données'!$D$4:$D$1000,$C$4,'📋 Saisie des données'!$E$4:$E$1000,10,'📋 Saisie des données'!$J$4:$J$1000,Z$1)</x:f>
        <x:v>0</x:v>
      </x:c>
      <x:c r="AA11" t="n">
        <x:f>COUNTIFS('📋 Saisie des données'!$D$4:$D$1000,$C$4,'📋 Saisie des données'!$E$4:$E$1000,10,'📋 Saisie des données'!$J$4:$J$1000,AA$1)</x:f>
        <x:v>0</x:v>
      </x:c>
      <x:c r="AB11" s="1" t="str">
        <x:f>'🔖 Listes de choix'!$C$12</x:f>
        <x:v>Exposition à une substance</x:v>
      </x:c>
      <x:c r="AC11" s="1" t="n">
        <x:f aca="0">COUNTIFS('📋 Saisie des données'!$D$4:$D$1000,$C$4,'📋 Saisie des données'!$T$4:$T$1000,AB11)</x:f>
        <x:v>1</x:v>
      </x:c>
      <x:c r="AE11" s="1" t="str">
        <x:f>'🔖 Listes de choix'!$F$12</x:f>
        <x:v>Consignation non appliquée</x:v>
      </x:c>
      <x:c r="AF11" s="1" t="n">
        <x:f aca="0">COUNTIFS('📋 Saisie des données'!$D$4:$D$1000,$C$4,'📋 Saisie des données'!$AA$4:$AA$1000,AE11)</x:f>
        <x:v>1</x:v>
      </x:c>
      <x:c r="AH11" t="str">
        <x:f>'🔖 Listes de choix'!$P$12</x:f>
        <x:v>Logistique</x:v>
      </x:c>
      <x:c r="AI11" t="n">
        <x:f>COUNTIFS('📋 Saisie des données'!$D$4:$D$1000,$C$4,'📋 Saisie des données'!$M$4:$M$1000,AH11)</x:f>
        <x:v>1</x:v>
      </x:c>
    </x:row>
    <x:row r="12" ht="15" hidden="0" customHeight="1">
      <x:c r="V12" s="1" t="str">
        <x:v>Nov.</x:v>
      </x:c>
      <x:c r="W12" s="1" t="n">
        <x:f aca="0">COUNTIFS('📋 Saisie des données'!$D$4:$D$1000,$C$4,'📋 Saisie des données'!$E$4:$E$1000,11,'📋 Saisie des données'!$J$4:$J$1000,W$1)</x:f>
        <x:v>0</x:v>
      </x:c>
      <x:c r="X12" s="1" t="n">
        <x:f aca="0">COUNTIFS('📋 Saisie des données'!$D$4:$D$1000,$C$4,'📋 Saisie des données'!$E$4:$E$1000,11,'📋 Saisie des données'!$J$4:$J$1000,X$1)</x:f>
        <x:v>0</x:v>
      </x:c>
      <x:c r="Y12" s="1" t="n">
        <x:f aca="0">COUNTIFS('📋 Saisie des données'!$D$4:$D$1000,$C$4,'📋 Saisie des données'!$E$4:$E$1000,11,'📋 Saisie des données'!$J$4:$J$1000,Y$1)</x:f>
        <x:v>0</x:v>
      </x:c>
      <x:c r="Z12" s="1" t="n">
        <x:f aca="0">COUNTIFS('📋 Saisie des données'!$D$4:$D$1000,$C$4,'📋 Saisie des données'!$E$4:$E$1000,11,'📋 Saisie des données'!$J$4:$J$1000,Z$1)</x:f>
        <x:v>0</x:v>
      </x:c>
      <x:c r="AA12" t="n">
        <x:f>COUNTIFS('📋 Saisie des données'!$D$4:$D$1000,$C$4,'📋 Saisie des données'!$E$4:$E$1000,11,'📋 Saisie des données'!$J$4:$J$1000,AA$1)</x:f>
        <x:v>0</x:v>
      </x:c>
      <x:c r="AB12" s="1" t="str">
        <x:f>'🔖 Listes de choix'!$C$13</x:f>
        <x:v>Exposition à une énergie / défaut de consignation</x:v>
      </x:c>
      <x:c r="AC12" s="1" t="n">
        <x:f aca="0">COUNTIFS('📋 Saisie des données'!$D$4:$D$1000,$C$4,'📋 Saisie des données'!$T$4:$T$1000,AB12)</x:f>
        <x:v>2</x:v>
      </x:c>
      <x:c r="AE12" s="1" t="str">
        <x:f>'🔖 Listes de choix'!$F$13</x:f>
        <x:v>EPI non disponible</x:v>
      </x:c>
      <x:c r="AF12" s="1" t="n">
        <x:f aca="0">COUNTIFS('📋 Saisie des données'!$D$4:$D$1000,$C$4,'📋 Saisie des données'!$AA$4:$AA$1000,AE12)</x:f>
        <x:v>0</x:v>
      </x:c>
      <x:c r="AH12" t="str">
        <x:f>'🔖 Listes de choix'!$P$13</x:f>
        <x:v>Bureaux</x:v>
      </x:c>
      <x:c r="AI12" t="n">
        <x:f>COUNTIFS('📋 Saisie des données'!$D$4:$D$1000,$C$4,'📋 Saisie des données'!$M$4:$M$1000,AH12)</x:f>
        <x:v>1</x:v>
      </x:c>
    </x:row>
    <x:row r="13" ht="15" hidden="0" customHeight="1">
      <x:c r="V13" s="1" t="str">
        <x:v>Déc.</x:v>
      </x:c>
      <x:c r="W13" s="1" t="n">
        <x:f aca="0">COUNTIFS('📋 Saisie des données'!$D$4:$D$1000,$C$4,'📋 Saisie des données'!$E$4:$E$1000,12,'📋 Saisie des données'!$J$4:$J$1000,W$1)</x:f>
        <x:v>0</x:v>
      </x:c>
      <x:c r="X13" s="1" t="n">
        <x:f aca="0">COUNTIFS('📋 Saisie des données'!$D$4:$D$1000,$C$4,'📋 Saisie des données'!$E$4:$E$1000,12,'📋 Saisie des données'!$J$4:$J$1000,X$1)</x:f>
        <x:v>0</x:v>
      </x:c>
      <x:c r="Y13" s="1" t="n">
        <x:f aca="0">COUNTIFS('📋 Saisie des données'!$D$4:$D$1000,$C$4,'📋 Saisie des données'!$E$4:$E$1000,12,'📋 Saisie des données'!$J$4:$J$1000,Y$1)</x:f>
        <x:v>0</x:v>
      </x:c>
      <x:c r="Z13" s="1" t="n">
        <x:f aca="0">COUNTIFS('📋 Saisie des données'!$D$4:$D$1000,$C$4,'📋 Saisie des données'!$E$4:$E$1000,12,'📋 Saisie des données'!$J$4:$J$1000,Z$1)</x:f>
        <x:v>0</x:v>
      </x:c>
      <x:c r="AA13" t="n">
        <x:f>COUNTIFS('📋 Saisie des données'!$D$4:$D$1000,$C$4,'📋 Saisie des données'!$E$4:$E$1000,12,'📋 Saisie des données'!$J$4:$J$1000,AA$1)</x:f>
        <x:v>0</x:v>
      </x:c>
      <x:c r="AB13" s="1" t="str">
        <x:f>'🔖 Listes de choix'!$C$14</x:f>
        <x:v>Accident de la route</x:v>
      </x:c>
      <x:c r="AC13" s="1" t="n">
        <x:f aca="0">COUNTIFS('📋 Saisie des données'!$D$4:$D$1000,$C$4,'📋 Saisie des données'!$T$4:$T$1000,AB13)</x:f>
        <x:v>0</x:v>
      </x:c>
      <x:c r="AE13" s="1" t="str">
        <x:f>'🔖 Listes de choix'!$F$14</x:f>
        <x:v>EPI non porté</x:v>
      </x:c>
      <x:c r="AF13" s="1" t="n">
        <x:f aca="0">COUNTIFS('📋 Saisie des données'!$D$4:$D$1000,$C$4,'📋 Saisie des données'!$AA$4:$AA$1000,AE13)</x:f>
        <x:v>1</x:v>
      </x:c>
    </x:row>
    <x:row r="14" ht="15" hidden="0" customHeight="1">
      <x:c r="AB14" t="str">
        <x:f>'🔖 Listes de choix'!$C$15</x:f>
        <x:v>Contact animal / exposition biologique</x:v>
      </x:c>
      <x:c r="AC14" t="n">
        <x:f>COUNTIFS('📋 Saisie des données'!$D$4:$D$1000,$C$4,'📋 Saisie des données'!$T$4:$T$1000,AB14)</x:f>
        <x:v>0</x:v>
      </x:c>
      <x:c r="AE14" s="1" t="str">
        <x:f>'🔖 Listes de choix'!$F$15</x:f>
        <x:v>Problème de conception / d’ergonomie</x:v>
      </x:c>
      <x:c r="AF14" s="1" t="n">
        <x:f aca="0">COUNTIFS('📋 Saisie des données'!$D$4:$D$1000,$C$4,'📋 Saisie des données'!$AA$4:$AA$1000,AE14)</x:f>
        <x:v>0</x:v>
      </x:c>
    </x:row>
    <x:row r="15" ht="15" hidden="0" customHeight="1">
      <x:c r="AB15" t="str">
        <x:f>'🔖 Listes de choix'!$C$16</x:f>
        <x:v>Violence / agression</x:v>
      </x:c>
      <x:c r="AC15" t="n">
        <x:f>COUNTIFS('📋 Saisie des données'!$D$4:$D$1000,$C$4,'📋 Saisie des données'!$T$4:$T$1000,AB15)</x:f>
        <x:v>0</x:v>
      </x:c>
      <x:c r="AE15" s="1" t="str">
        <x:f>'🔖 Listes de choix'!$F$16</x:f>
        <x:v>Pression liée aux délais</x:v>
      </x:c>
      <x:c r="AF15" s="1" t="n">
        <x:f aca="0">COUNTIFS('📋 Saisie des données'!$D$4:$D$1000,$C$4,'📋 Saisie des données'!$AA$4:$AA$1000,AE15)</x:f>
        <x:v>0</x:v>
      </x:c>
    </x:row>
    <x:row r="16">
      <x:c r="AB16" t="str">
        <x:f>'🔖 Listes de choix'!$C$17</x:f>
        <x:v>Autre</x:v>
      </x:c>
      <x:c r="AC16" t="n">
        <x:f>COUNTIFS('📋 Saisie des données'!$D$4:$D$1000,$C$4,'📋 Saisie des données'!$T$4:$T$1000,AB16)</x:f>
        <x:v>0</x:v>
      </x:c>
      <x:c r="AE16" t="str">
        <x:f>'🔖 Listes de choix'!$F$17</x:f>
        <x:v>Pratique habituelle / culture d’entreprise</x:v>
      </x:c>
      <x:c r="AF16" t="n">
        <x:f>COUNTIFS('📋 Saisie des données'!$D$4:$D$1000,$C$4,'📋 Saisie des données'!$AA$4:$AA$1000,AE16)</x:f>
        <x:v>1</x:v>
      </x:c>
    </x:row>
    <x:row r="17">
      <x:c r="AB17" t="str">
        <x:f>'🔖 Listes de choix'!$C$18</x:f>
        <x:v>Glissade / trébuchement / chute dans un escalier</x:v>
      </x:c>
      <x:c r="AC17" t="n">
        <x:f>COUNTIFS('📋 Saisie des données'!$D$4:$D$1000,$C$4,'📋 Saisie des données'!$T$4:$T$1000,AB17)</x:f>
        <x:v>1</x:v>
      </x:c>
      <x:c r="AE17" t="str">
        <x:f>'🔖 Listes de choix'!$F$18</x:f>
        <x:v>Lacune dans les contrôles</x:v>
      </x:c>
      <x:c r="AF17" t="n">
        <x:f>COUNTIFS('📋 Saisie des données'!$D$4:$D$1000,$C$4,'📋 Saisie des données'!$AA$4:$AA$1000,AE17)</x:f>
        <x:v>0</x:v>
      </x:c>
    </x:row>
    <x:row r="18">
      <x:c r="AE18" t="str">
        <x:f>'🔖 Listes de choix'!$F$19</x:f>
        <x:v>Suivi des entreprises externes insuffisant</x:v>
      </x:c>
      <x:c r="AF18" t="n">
        <x:f>COUNTIFS('📋 Saisie des données'!$D$4:$D$1000,$C$4,'📋 Saisie des données'!$AA$4:$AA$1000,AE18)</x:f>
        <x:v>0</x:v>
      </x:c>
    </x:row>
    <x:row r="19">
      <x:c r="AE19" t="str">
        <x:f>'🔖 Listes de choix'!$F$20</x:f>
        <x:v>Nouveau collaborateur / tâche peu familière</x:v>
      </x:c>
      <x:c r="AF19" t="n">
        <x:f>COUNTIFS('📋 Saisie des données'!$D$4:$D$1000,$C$4,'📋 Saisie des données'!$AA$4:$AA$1000,AE19)</x:f>
        <x:v>1</x:v>
      </x:c>
    </x:row>
    <x:row r="20">
      <x:c r="AE20" t="str">
        <x:f>'🔖 Listes de choix'!$F$21</x:f>
        <x:v>Autre</x:v>
      </x:c>
      <x:c r="AF20" t="n">
        <x:f>COUNTIFS('📋 Saisie des données'!$D$4:$D$1000,$C$4,'📋 Saisie des données'!$AA$4:$AA$1000,AE20)</x:f>
        <x:v>0</x:v>
      </x:c>
    </x:row>
    <x:row r="21">
      <x:c r="AE21" t="str">
        <x:f>'🔖 Listes de choix'!$F$22</x:f>
        <x:v>Rayonnage surchargé</x:v>
      </x:c>
      <x:c r="AF21" t="n">
        <x:f>COUNTIFS('📋 Saisie des données'!$D$4:$D$1000,$C$4,'📋 Saisie des données'!$AA$4:$AA$1000,AE21)</x:f>
        <x:v>1</x:v>
      </x:c>
    </x:row>
    <x:row r="22">
      <x:c r="AE22" t="str">
        <x:f>'🔖 Listes de choix'!$F$23</x:f>
        <x:v>Surface de circulation usée</x:v>
      </x:c>
      <x:c r="AF22" t="n">
        <x:f>COUNTIFS('📋 Saisie des données'!$D$4:$D$1000,$C$4,'📋 Saisie des données'!$AA$4:$AA$1000,AE22)</x:f>
        <x:v>1</x:v>
      </x:c>
    </x:row>
  </x:sheetData>
  <x:mergeCells>
    <x:mergeCell ref="B1:T1"/>
  </x:mergeCell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  <x:drawing xmlns:r="http://schemas.openxmlformats.org/officeDocument/2006/relationships" r:id="Rf211d835e1a14764"/>
</x:worksheet>
</file>